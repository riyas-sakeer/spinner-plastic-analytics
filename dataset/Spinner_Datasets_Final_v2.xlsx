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Cost of Production" sheetId="2" state="visible" r:id="rId4"/>
    <sheet name="Gross Margin Analysis" sheetId="3" state="visible" r:id="rId5"/>
    <sheet name="Inventory Data" sheetId="4" state="visible" r:id="rId6"/>
    <sheet name="Region Sales" sheetId="5" state="visible" r:id="rId7"/>
    <sheet name="Profit &amp; Loss" sheetId="6" state="visible" r:id="rId8"/>
    <sheet name="Balance Sheet" sheetId="7" state="visible" r:id="rId9"/>
    <sheet name="Price List" sheetId="8" state="visible" r:id="rId10"/>
    <sheet name="Seasonal Trend" sheetId="9" state="visible" r:id="rId11"/>
    <sheet name="ABC Classific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<sst xmlns="http://schemas.openxmlformats.org/spreadsheetml/2006/main" count="793" uniqueCount="267">
  <si>
    <t xml:space="preserve">Spinner Plastic Industries Ltd — Monthly Sales Data (₹) | FY 2022–2025</t>
  </si>
  <si>
    <t xml:space="preserve">Year</t>
  </si>
  <si>
    <t xml:space="preserve">Month</t>
  </si>
  <si>
    <t xml:space="preserve">Month No</t>
  </si>
  <si>
    <t xml:space="preserve">uPVC Pipes</t>
  </si>
  <si>
    <t xml:space="preserve">LDPE Pipes</t>
  </si>
  <si>
    <t xml:space="preserve">HDPE Pipes</t>
  </si>
  <si>
    <t xml:space="preserve">Soft PVC Pipes</t>
  </si>
  <si>
    <t xml:space="preserve">Water Tanks</t>
  </si>
  <si>
    <t xml:space="preserve">Rain Water Gutters</t>
  </si>
  <si>
    <t xml:space="preserve">Drip Irrigation Pipes &amp; Fittings</t>
  </si>
  <si>
    <t xml:space="preserve">Ceramic / Sanitary Ware</t>
  </si>
  <si>
    <t xml:space="preserve">Power Transmission Equipment</t>
  </si>
  <si>
    <t xml:space="preserve">Total Monthly Sales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</si>
  <si>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</si>
  <si>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</si>
  <si>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</si>
  <si>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</si>
  <si>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</si>
  <si>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</si>
  <si>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</si>
  <si>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</si>
  <si>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</si>
  <si>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</si>
  <si>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</si>
  <si>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</si>
  <si>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</si>
  <si>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Spinner Plastic Industries Ltd — Cost of Production Analysis (₹) | FY 2022–2025</t>
  </si>
  <si>
    <t xml:space="preserve">Product Category</t>
  </si>
  <si>
    <t xml:space="preserve">Type</t>
  </si>
  <si>
    <t xml:space="preserve">Annual Sales (₹)</t>
  </si>
  <si>
    <t xml:space="preserve">Raw Material Cost (₹)</t>
  </si>
  <si>
    <t xml:space="preserve">RM % of Sales</t>
  </si>
  <si>
    <t xml:space="preserve">Manufacturing Cost (₹)</t>
  </si>
  <si>
    <t xml:space="preserve">Mfg % of Sales</t>
  </si>
  <si>
    <t xml:space="preserve">Trading Expenses (₹)</t>
  </si>
  <si>
    <t xml:space="preserve">Trading % of Sales</t>
  </si>
  <si>
    <t xml:space="preserve">Manufacturing</t>
  </si>
  <si>
    <t xml:space="preserve">—</t>
  </si>
  <si>
    <t xml:space="preserve">Trading</t>
  </si>
  <si>
    <t xml:space="preserve">YEAR TOTAL</t>
  </si>
  <si>
    <t xml:space="preserve">Notes: Manufacturing products — RM: 65–70% (avg 67.5%), Manufacturing: 16–20% (avg 18%) | Trading products (Sanitary Ware &amp; Power Transmission Equipment) — Trading Expenses: 5–10% (avg 7.5%) | Source: Company</t>
  </si>
  <si>
    <t xml:space="preserve">Spinner Plastic Industries Ltd — Gross Margin by Product (₹) | FY 2022–2025</t>
  </si>
  <si>
    <t xml:space="preserve">Product</t>
  </si>
  <si>
    <t xml:space="preserve">Total Cost (₹)</t>
  </si>
  <si>
    <t xml:space="preserve">Gross Margin (₹)</t>
  </si>
  <si>
    <t xml:space="preserve">Gross Margin %</t>
  </si>
  <si>
    <t xml:space="preserve">Category</t>
  </si>
  <si>
    <t xml:space="preserve">High Margin</t>
  </si>
  <si>
    <t xml:space="preserve">Spinner Plastic Industries Ltd — Inventory &amp; Stock Data (2022–2024)</t>
  </si>
  <si>
    <t xml:space="preserve">Movement</t>
  </si>
  <si>
    <t xml:space="preserve">Avg Monthly Prod (Units)</t>
  </si>
  <si>
    <t xml:space="preserve">Reorder Level</t>
  </si>
  <si>
    <t xml:space="preserve">Avg Inv Period (Days)</t>
  </si>
  <si>
    <t xml:space="preserve">Open Stock 2022</t>
  </si>
  <si>
    <t xml:space="preserve">Close Stock 2022</t>
  </si>
  <si>
    <t xml:space="preserve">Open Stock 2023</t>
  </si>
  <si>
    <t xml:space="preserve">Close Stock 2023</t>
  </si>
  <si>
    <t xml:space="preserve">Open Stock 2024</t>
  </si>
  <si>
    <t xml:space="preserve">HDPE Pipes (Fast Moving)</t>
  </si>
  <si>
    <t xml:space="preserve">Fast Moving</t>
  </si>
  <si>
    <t xml:space="preserve">uPVC Pipes (Fast Moving)</t>
  </si>
  <si>
    <t xml:space="preserve">Slow Moving</t>
  </si>
  <si>
    <t xml:space="preserve">Drip Irrigation Pipes &amp; Fittings (FM)</t>
  </si>
  <si>
    <t xml:space="preserve">Green=Fast Moving | Yellow=Slow Moving | Orange=Trading Only</t>
  </si>
  <si>
    <t xml:space="preserve">Spinner Plastic Industries Ltd — District-wise Sales Distribution</t>
  </si>
  <si>
    <t xml:space="preserve">District</t>
  </si>
  <si>
    <t xml:space="preserve">Sales Status</t>
  </si>
  <si>
    <t xml:space="preserve">Region (Kerala)</t>
  </si>
  <si>
    <t xml:space="preserve">Sales Volume Index</t>
  </si>
  <si>
    <t xml:space="preserve">% Share of Sales</t>
  </si>
  <si>
    <t xml:space="preserve">Remarks</t>
  </si>
  <si>
    <t xml:space="preserve">Kasaragod</t>
  </si>
  <si>
    <t xml:space="preserve">Top Seller</t>
  </si>
  <si>
    <t xml:space="preserve">North Kerala</t>
  </si>
  <si>
    <t xml:space="preserve">Highest volume district</t>
  </si>
  <si>
    <t xml:space="preserve">Kannur</t>
  </si>
  <si>
    <t xml:space="preserve">Strong dealer network</t>
  </si>
  <si>
    <t xml:space="preserve">Idukki</t>
  </si>
  <si>
    <t xml:space="preserve">Central Kerala</t>
  </si>
  <si>
    <t xml:space="preserve">Agriculture demand high</t>
  </si>
  <si>
    <t xml:space="preserve">Thrissur</t>
  </si>
  <si>
    <t xml:space="preserve">HQ district, home market</t>
  </si>
  <si>
    <t xml:space="preserve">Palakkad</t>
  </si>
  <si>
    <t xml:space="preserve">Irrigation belt — high HDPE</t>
  </si>
  <si>
    <t xml:space="preserve">Malappuram</t>
  </si>
  <si>
    <t xml:space="preserve">Moderate</t>
  </si>
  <si>
    <t xml:space="preserve">Growing market</t>
  </si>
  <si>
    <t xml:space="preserve">Kozhikode</t>
  </si>
  <si>
    <t xml:space="preserve">Urban demand</t>
  </si>
  <si>
    <t xml:space="preserve">Ernakulam</t>
  </si>
  <si>
    <t xml:space="preserve">Competitive market</t>
  </si>
  <si>
    <t xml:space="preserve">Kottayam</t>
  </si>
  <si>
    <t xml:space="preserve">Moderate penetration</t>
  </si>
  <si>
    <t xml:space="preserve">Alappuzha</t>
  </si>
  <si>
    <t xml:space="preserve">South Kerala</t>
  </si>
  <si>
    <t xml:space="preserve">Low agricultural use</t>
  </si>
  <si>
    <t xml:space="preserve">Pathanamthitta</t>
  </si>
  <si>
    <t xml:space="preserve">Low</t>
  </si>
  <si>
    <t xml:space="preserve">Limited dealer reach</t>
  </si>
  <si>
    <t xml:space="preserve">Wayanad</t>
  </si>
  <si>
    <t xml:space="preserve">Remote access issue</t>
  </si>
  <si>
    <t xml:space="preserve">Thrissur Rural</t>
  </si>
  <si>
    <t xml:space="preserve">Covered by HQ directly</t>
  </si>
  <si>
    <t xml:space="preserve">Kollam</t>
  </si>
  <si>
    <t xml:space="preserve">No Sales</t>
  </si>
  <si>
    <t xml:space="preserve">No active dealers</t>
  </si>
  <si>
    <t xml:space="preserve">Trivandrum</t>
  </si>
  <si>
    <t xml:space="preserve">No market presence</t>
  </si>
  <si>
    <t xml:space="preserve">TOTAL</t>
  </si>
  <si>
    <t xml:space="preserve">Spinner Plastic Industries Ltd — Profit &amp; Loss Account (₹ Crores) | FY 2020–2023</t>
  </si>
  <si>
    <t xml:space="preserve">Particulars</t>
  </si>
  <si>
    <t xml:space="preserve">FY 2020 (Actual)</t>
  </si>
  <si>
    <t xml:space="preserve">FY 2021</t>
  </si>
  <si>
    <t xml:space="preserve">FY 2022</t>
  </si>
  <si>
    <t xml:space="preserve">FY 2023</t>
  </si>
  <si>
    <t xml:space="preserve">Notes</t>
  </si>
  <si>
    <t xml:space="preserve">INCOME</t>
  </si>
  <si>
    <t xml:space="preserve">Sales</t>
  </si>
  <si>
    <t xml:space="preserve">Actual — base year FY2020</t>
  </si>
  <si>
    <t xml:space="preserve">Closing Stock</t>
  </si>
  <si>
    <t xml:space="preserve">Actual</t>
  </si>
  <si>
    <t xml:space="preserve">TOTAL INCOME</t>
  </si>
  <si>
    <t xml:space="preserve">Sales + Closing Stock</t>
  </si>
  <si>
    <t xml:space="preserve">EXPENDITURE</t>
  </si>
  <si>
    <t xml:space="preserve">Opening Stock</t>
  </si>
  <si>
    <t xml:space="preserve">Purchases</t>
  </si>
  <si>
    <t xml:space="preserve">Carriage Inward</t>
  </si>
  <si>
    <t xml:space="preserve">Fuel Charges</t>
  </si>
  <si>
    <t xml:space="preserve">Wages</t>
  </si>
  <si>
    <t xml:space="preserve">Electricity Charges</t>
  </si>
  <si>
    <t xml:space="preserve">Advertisement</t>
  </si>
  <si>
    <t xml:space="preserve">Audit Fee</t>
  </si>
  <si>
    <t xml:space="preserve">Fixed</t>
  </si>
  <si>
    <t xml:space="preserve">Bank Charge &amp; Interest</t>
  </si>
  <si>
    <t xml:space="preserve">Insurance Charge</t>
  </si>
  <si>
    <t xml:space="preserve">Postage &amp; Stationery</t>
  </si>
  <si>
    <t xml:space="preserve">Travelling Expense</t>
  </si>
  <si>
    <t xml:space="preserve">Transporting Charge</t>
  </si>
  <si>
    <t xml:space="preserve">Registration Fee</t>
  </si>
  <si>
    <t xml:space="preserve">Refreshment Expense</t>
  </si>
  <si>
    <t xml:space="preserve">Repair &amp; Maintenance</t>
  </si>
  <si>
    <t xml:space="preserve">Depreciation</t>
  </si>
  <si>
    <t xml:space="preserve">Fixed — ₹1 Cr per year</t>
  </si>
  <si>
    <t xml:space="preserve">GROSS PROFIT</t>
  </si>
  <si>
    <t xml:space="preserve">Sales − Direct Costs</t>
  </si>
  <si>
    <t xml:space="preserve">NET PROFIT</t>
  </si>
  <si>
    <t xml:space="preserve">GP − Indirect Expenses</t>
  </si>
  <si>
    <t xml:space="preserve">Spinner Plastic Industries Ltd — Balance Sheet (₹ Crores) | FY 2020–2023</t>
  </si>
  <si>
    <t xml:space="preserve">LIABILITIES</t>
  </si>
  <si>
    <t xml:space="preserve">Capital</t>
  </si>
  <si>
    <t xml:space="preserve">Unchanged</t>
  </si>
  <si>
    <t xml:space="preserve">Overdraft</t>
  </si>
  <si>
    <t xml:space="preserve">Term Loan</t>
  </si>
  <si>
    <t xml:space="preserve">Reduce ₹0.50 Cr per year</t>
  </si>
  <si>
    <t xml:space="preserve">Reserve &amp; Surplus</t>
  </si>
  <si>
    <t xml:space="preserve">Grow 5% per year</t>
  </si>
  <si>
    <t xml:space="preserve">Sundry Creditors</t>
  </si>
  <si>
    <t xml:space="preserve">Other Liabilities</t>
  </si>
  <si>
    <t xml:space="preserve">TOTAL LIABILITIES</t>
  </si>
  <si>
    <t xml:space="preserve">Sum of liabilities</t>
  </si>
  <si>
    <t xml:space="preserve">ASSETS</t>
  </si>
  <si>
    <t xml:space="preserve">Fixed Assets</t>
  </si>
  <si>
    <t xml:space="preserve">Deduct ₹1 Cr depreciation per year</t>
  </si>
  <si>
    <t xml:space="preserve">Sundry Debtors</t>
  </si>
  <si>
    <t xml:space="preserve">Grows with sales 5%</t>
  </si>
  <si>
    <t xml:space="preserve">Cash</t>
  </si>
  <si>
    <t xml:space="preserve">Loan (Asset)</t>
  </si>
  <si>
    <t xml:space="preserve">TOTAL ASSETS</t>
  </si>
  <si>
    <t xml:space="preserve">Sum of assets</t>
  </si>
  <si>
    <t xml:space="preserve">Spinner Plastic Industries Ltd — Product Price List 2025-26 (₹)</t>
  </si>
  <si>
    <t xml:space="preserve">Product / Size</t>
  </si>
  <si>
    <t xml:space="preserve">Unit</t>
  </si>
  <si>
    <t xml:space="preserve">Price (₹)</t>
  </si>
  <si>
    <t xml:space="preserve">HDPE ISI Pipes</t>
  </si>
  <si>
    <t xml:space="preserve">25mm SDR11</t>
  </si>
  <si>
    <t xml:space="preserve">per meter</t>
  </si>
  <si>
    <t xml:space="preserve">Fast</t>
  </si>
  <si>
    <t xml:space="preserve">32mm SDR11</t>
  </si>
  <si>
    <t xml:space="preserve">40mm SDR17</t>
  </si>
  <si>
    <t xml:space="preserve">40mm SDR11</t>
  </si>
  <si>
    <t xml:space="preserve">63mm SDR26</t>
  </si>
  <si>
    <t xml:space="preserve">110mm SDR21</t>
  </si>
  <si>
    <t xml:space="preserve">50mm SDR26</t>
  </si>
  <si>
    <t xml:space="preserve">Slow</t>
  </si>
  <si>
    <t xml:space="preserve">75mm SDR26</t>
  </si>
  <si>
    <t xml:space="preserve">HDPE Non-ISI</t>
  </si>
  <si>
    <t xml:space="preserve">2" SDR21</t>
  </si>
  <si>
    <t xml:space="preserve">1¼" 500mtr</t>
  </si>
  <si>
    <t xml:space="preserve">1"</t>
  </si>
  <si>
    <t xml:space="preserve">1½"</t>
  </si>
  <si>
    <t xml:space="preserve">½"</t>
  </si>
  <si>
    <t xml:space="preserve">1" × 10</t>
  </si>
  <si>
    <t xml:space="preserve">1½" × 6</t>
  </si>
  <si>
    <t xml:space="preserve">2" × 4</t>
  </si>
  <si>
    <t xml:space="preserve">2½" × 4</t>
  </si>
  <si>
    <t xml:space="preserve">3" × 4</t>
  </si>
  <si>
    <t xml:space="preserve">4" × 4</t>
  </si>
  <si>
    <t xml:space="preserve">5" × 6</t>
  </si>
  <si>
    <t xml:space="preserve">6" × 6</t>
  </si>
  <si>
    <t xml:space="preserve">Soft PVC</t>
  </si>
  <si>
    <t xml:space="preserve">Flexible ¾"</t>
  </si>
  <si>
    <t xml:space="preserve">per 30m</t>
  </si>
  <si>
    <t xml:space="preserve">Flexible 1"</t>
  </si>
  <si>
    <t xml:space="preserve">Garden Hose ½"</t>
  </si>
  <si>
    <t xml:space="preserve">Braided Hose ½"</t>
  </si>
  <si>
    <t xml:space="preserve">200L LLDPE</t>
  </si>
  <si>
    <t xml:space="preserve">per unit</t>
  </si>
  <si>
    <t xml:space="preserve">500L LLDPE</t>
  </si>
  <si>
    <t xml:space="preserve">1000L LLDPE</t>
  </si>
  <si>
    <t xml:space="preserve">Closet LIVION-1001</t>
  </si>
  <si>
    <t xml:space="preserve">Closet FUSION-1005</t>
  </si>
  <si>
    <t xml:space="preserve">Closet FLORA-1015</t>
  </si>
  <si>
    <t xml:space="preserve">Wash Basin</t>
  </si>
  <si>
    <t xml:space="preserve">Urinal 1L</t>
  </si>
  <si>
    <t xml:space="preserve">Power Transmission Equip</t>
  </si>
  <si>
    <t xml:space="preserve">PVC Line Spacers</t>
  </si>
  <si>
    <t xml:space="preserve">Spinner Plastic Industries Ltd — Seasonal Sales Trend (Monthly Index)</t>
  </si>
  <si>
    <t xml:space="preserve">Season</t>
  </si>
  <si>
    <t xml:space="preserve">Demand Level</t>
  </si>
  <si>
    <t xml:space="preserve">Sales Index (Base=100)</t>
  </si>
  <si>
    <t xml:space="preserve">% vs Annual Avg</t>
  </si>
  <si>
    <t xml:space="preserve">January</t>
  </si>
  <si>
    <t xml:space="preserve">Peak</t>
  </si>
  <si>
    <t xml:space="preserve">High</t>
  </si>
  <si>
    <t xml:space="preserve">Peak season — irrigation &amp; construction active</t>
  </si>
  <si>
    <t xml:space="preserve">February</t>
  </si>
  <si>
    <t xml:space="preserve">Agriculture season — steady demand</t>
  </si>
  <si>
    <t xml:space="preserve">March</t>
  </si>
  <si>
    <t xml:space="preserve">Very High</t>
  </si>
  <si>
    <t xml:space="preserve">Year-end project rush</t>
  </si>
  <si>
    <t xml:space="preserve">April</t>
  </si>
  <si>
    <t xml:space="preserve">Pre-monsoon purchases</t>
  </si>
  <si>
    <t xml:space="preserve">Moderate-High</t>
  </si>
  <si>
    <t xml:space="preserve">Tail end of peak season</t>
  </si>
  <si>
    <t xml:space="preserve">June</t>
  </si>
  <si>
    <t xml:space="preserve">Off-Peak</t>
  </si>
  <si>
    <t xml:space="preserve">Monsoon begins — construction paused</t>
  </si>
  <si>
    <t xml:space="preserve">July</t>
  </si>
  <si>
    <t xml:space="preserve">Very Low</t>
  </si>
  <si>
    <t xml:space="preserve">Lowest demand month</t>
  </si>
  <si>
    <t xml:space="preserve">August</t>
  </si>
  <si>
    <t xml:space="preserve">Monsoon continues</t>
  </si>
  <si>
    <t xml:space="preserve">September</t>
  </si>
  <si>
    <t xml:space="preserve">Late monsoon — slight recovery</t>
  </si>
  <si>
    <t xml:space="preserve">October</t>
  </si>
  <si>
    <t xml:space="preserve">Post-monsoon — peak restarts strongly</t>
  </si>
  <si>
    <t xml:space="preserve">November</t>
  </si>
  <si>
    <t xml:space="preserve">Strong dealer restocking orders</t>
  </si>
  <si>
    <t xml:space="preserve">December</t>
  </si>
  <si>
    <t xml:space="preserve">Year-end stocking by dealers</t>
  </si>
  <si>
    <t xml:space="preserve">Spinner Plastic Industries Ltd — ABC Inventory Classification</t>
  </si>
  <si>
    <t xml:space="preserve">ABC Category</t>
  </si>
  <si>
    <t xml:space="preserve">Annual Sales Share %</t>
  </si>
  <si>
    <t xml:space="preserve">Cumulative %</t>
  </si>
  <si>
    <t xml:space="preserve">Avg Inventory (Days)</t>
  </si>
  <si>
    <t xml:space="preserve">Inv Value (₹ Cr Approx)</t>
  </si>
  <si>
    <t xml:space="preserve">Action</t>
  </si>
  <si>
    <t xml:space="preserve">A</t>
  </si>
  <si>
    <t xml:space="preserve">High priority — maintain stock</t>
  </si>
  <si>
    <t xml:space="preserve">Monitor closely</t>
  </si>
  <si>
    <t xml:space="preserve">B</t>
  </si>
  <si>
    <t xml:space="preserve">Regular review — trading item</t>
  </si>
  <si>
    <t xml:space="preserve">Regular review</t>
  </si>
  <si>
    <t xml:space="preserve">C</t>
  </si>
  <si>
    <t xml:space="preserve">Order on demand — trading item</t>
  </si>
  <si>
    <t xml:space="preserve">A = High Value (top 60%) | B = Medium Value (60–90%) | C = Low Value (90–100%) | Orange = Trading Only (no manufacturing cost)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</si>
</sst>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5C8B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5C8B"/>
        <bgColor rgb="FF2E75B6"/>
      </patternFill>
    </fill>
    <fill>
      <patternFill patternType="solid">
        <fgColor rgb="FF2E75B6"/>
        <bgColor rgb="FF1F5C8B"/>
      </patternFill>
    </fill>
    <fill>
      <patternFill patternType="solid">
        <fgColor rgb="FFFFFFFF"/>
        <bgColor rgb="FFEBF3FA"/>
      </patternFill>
    </fill>
    <fill>
      <patternFill patternType="solid">
        <fgColor rgb="FFE2EFDA"/>
        <bgColor rgb="FFEBF3FA"/>
      </patternFill>
    </fill>
    <fill>
      <patternFill patternType="solid">
        <fgColor rgb="FFEBF3FA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DCE1"/>
      </patternFill>
    </fill>
    <fill>
      <patternFill patternType="solid">
        <fgColor rgb="FFFFDCE1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A"/>
      <rgbColor rgb="FF660066"/>
      <rgbColor rgb="FFFF8080"/>
      <rgbColor rgb="FF1F5C8B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DCE1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n">
        <v>2022</v>
      </c>
      <c r="B3" s="4" t="s">
        <v>14</v>
      </c>
      <c r="C3" s="3" t="n">
        <v>1</v>
      </c>
      <c r="D3" s="5" t="n">
        <v>8200000</v>
      </c>
      <c r="E3" s="5" t="n">
        <v>1480000</v>
      </c>
      <c r="F3" s="5" t="n">
        <v>6190000</v>
      </c>
      <c r="G3" s="5" t="n">
        <v>1530000</v>
      </c>
      <c r="H3" s="5" t="n">
        <v>1660000</v>
      </c>
      <c r="I3" s="5" t="n">
        <v>4950000</v>
      </c>
      <c r="J3" s="5" t="n">
        <v>1700000</v>
      </c>
      <c r="K3" s="5" t="n">
        <v>1500000</v>
      </c>
      <c r="L3" s="5" t="n">
        <v>3170000</v>
      </c>
      <c r="M3" s="6" t="n">
        <f aca="false">SUM(D3:L3)</f>
        <v>30380000</v>
      </c>
    </row>
    <row r="4" customFormat="false" ht="15" hidden="false" customHeight="false" outlineLevel="0" collapsed="false">
      <c r="A4" s="7" t="n">
        <v>2022</v>
      </c>
      <c r="B4" s="8" t="s">
        <v>15</v>
      </c>
      <c r="C4" s="7" t="n">
        <v>2</v>
      </c>
      <c r="D4" s="9" t="n">
        <v>7420000</v>
      </c>
      <c r="E4" s="9" t="n">
        <v>1530000</v>
      </c>
      <c r="F4" s="9" t="n">
        <v>6420000</v>
      </c>
      <c r="G4" s="9" t="n">
        <v>1480000</v>
      </c>
      <c r="H4" s="9" t="n">
        <v>1530000</v>
      </c>
      <c r="I4" s="9" t="n">
        <v>4930000</v>
      </c>
      <c r="J4" s="9" t="n">
        <v>1620000</v>
      </c>
      <c r="K4" s="9" t="n">
        <v>1530000</v>
      </c>
      <c r="L4" s="9" t="n">
        <v>3250000</v>
      </c>
      <c r="M4" s="6" t="n">
        <f aca="false">SUM(D4:L4)</f>
        <v>29710000</v>
      </c>
    </row>
    <row r="5" customFormat="false" ht="15" hidden="false" customHeight="false" outlineLevel="0" collapsed="false">
      <c r="A5" s="3" t="n">
        <v>2022</v>
      </c>
      <c r="B5" s="4" t="s">
        <v>16</v>
      </c>
      <c r="C5" s="3" t="n">
        <v>3</v>
      </c>
      <c r="D5" s="5" t="n">
        <v>8800000</v>
      </c>
      <c r="E5" s="5" t="n">
        <v>1540000</v>
      </c>
      <c r="F5" s="5" t="n">
        <v>7040000</v>
      </c>
      <c r="G5" s="5" t="n">
        <v>1730000</v>
      </c>
      <c r="H5" s="5" t="n">
        <v>1630000</v>
      </c>
      <c r="I5" s="5" t="n">
        <v>4750000</v>
      </c>
      <c r="J5" s="5" t="n">
        <v>1800000</v>
      </c>
      <c r="K5" s="5" t="n">
        <v>1630000</v>
      </c>
      <c r="L5" s="5" t="n">
        <v>3140000</v>
      </c>
      <c r="M5" s="6" t="n">
        <f aca="false">SUM(D5:L5)</f>
        <v>32060000</v>
      </c>
    </row>
    <row r="6" customFormat="false" ht="15" hidden="false" customHeight="false" outlineLevel="0" collapsed="false">
      <c r="A6" s="7" t="n">
        <v>2022</v>
      </c>
      <c r="B6" s="8" t="s">
        <v>17</v>
      </c>
      <c r="C6" s="7" t="n">
        <v>4</v>
      </c>
      <c r="D6" s="9" t="n">
        <v>7500000</v>
      </c>
      <c r="E6" s="9" t="n">
        <v>1690000</v>
      </c>
      <c r="F6" s="9" t="n">
        <v>6520000</v>
      </c>
      <c r="G6" s="9" t="n">
        <v>1680000</v>
      </c>
      <c r="H6" s="9" t="n">
        <v>1660000</v>
      </c>
      <c r="I6" s="9" t="n">
        <v>4840000</v>
      </c>
      <c r="J6" s="9" t="n">
        <v>1730000</v>
      </c>
      <c r="K6" s="9" t="n">
        <v>1570000</v>
      </c>
      <c r="L6" s="9" t="n">
        <v>3240000</v>
      </c>
      <c r="M6" s="6" t="n">
        <f aca="false">SUM(D6:L6)</f>
        <v>30430000</v>
      </c>
    </row>
    <row r="7" customFormat="false" ht="15" hidden="false" customHeight="false" outlineLevel="0" collapsed="false">
      <c r="A7" s="3" t="n">
        <v>2022</v>
      </c>
      <c r="B7" s="4" t="s">
        <v>18</v>
      </c>
      <c r="C7" s="3" t="n">
        <v>5</v>
      </c>
      <c r="D7" s="5" t="n">
        <v>8060000</v>
      </c>
      <c r="E7" s="5" t="n">
        <v>1560000</v>
      </c>
      <c r="F7" s="5" t="n">
        <v>6480000</v>
      </c>
      <c r="G7" s="5" t="n">
        <v>1550000</v>
      </c>
      <c r="H7" s="5" t="n">
        <v>1580000</v>
      </c>
      <c r="I7" s="5" t="n">
        <v>4260000</v>
      </c>
      <c r="J7" s="5" t="n">
        <v>1460000</v>
      </c>
      <c r="K7" s="5" t="n">
        <v>1480000</v>
      </c>
      <c r="L7" s="5" t="n">
        <v>2860000</v>
      </c>
      <c r="M7" s="6" t="n">
        <f aca="false">SUM(D7:L7)</f>
        <v>29290000</v>
      </c>
    </row>
    <row r="8" customFormat="false" ht="15" hidden="false" customHeight="false" outlineLevel="0" collapsed="false">
      <c r="A8" s="7" t="n">
        <v>2022</v>
      </c>
      <c r="B8" s="8" t="s">
        <v>19</v>
      </c>
      <c r="C8" s="7" t="n">
        <v>6</v>
      </c>
      <c r="D8" s="9" t="n">
        <v>4890000</v>
      </c>
      <c r="E8" s="9" t="n">
        <v>960000</v>
      </c>
      <c r="F8" s="9" t="n">
        <v>3940000</v>
      </c>
      <c r="G8" s="9" t="n">
        <v>1040000</v>
      </c>
      <c r="H8" s="9" t="n">
        <v>1000000</v>
      </c>
      <c r="I8" s="9" t="n">
        <v>3000000</v>
      </c>
      <c r="J8" s="9" t="n">
        <v>970000</v>
      </c>
      <c r="K8" s="9" t="n">
        <v>980000</v>
      </c>
      <c r="L8" s="9" t="n">
        <v>2180000</v>
      </c>
      <c r="M8" s="6" t="n">
        <f aca="false">SUM(D8:L8)</f>
        <v>18960000</v>
      </c>
    </row>
    <row r="9" customFormat="false" ht="15" hidden="false" customHeight="false" outlineLevel="0" collapsed="false">
      <c r="A9" s="3" t="n">
        <v>2022</v>
      </c>
      <c r="B9" s="4" t="s">
        <v>20</v>
      </c>
      <c r="C9" s="3" t="n">
        <v>7</v>
      </c>
      <c r="D9" s="5" t="n">
        <v>4850000</v>
      </c>
      <c r="E9" s="5" t="n">
        <v>960000</v>
      </c>
      <c r="F9" s="5" t="n">
        <v>3590000</v>
      </c>
      <c r="G9" s="5" t="n">
        <v>980000</v>
      </c>
      <c r="H9" s="5" t="n">
        <v>900000</v>
      </c>
      <c r="I9" s="5" t="n">
        <v>2790000</v>
      </c>
      <c r="J9" s="5" t="n">
        <v>1020000</v>
      </c>
      <c r="K9" s="5" t="n">
        <v>970000</v>
      </c>
      <c r="L9" s="5" t="n">
        <v>1910000</v>
      </c>
      <c r="M9" s="6" t="n">
        <f aca="false">SUM(D9:L9)</f>
        <v>17970000</v>
      </c>
    </row>
    <row r="10" customFormat="false" ht="15" hidden="false" customHeight="false" outlineLevel="0" collapsed="false">
      <c r="A10" s="7" t="n">
        <v>2022</v>
      </c>
      <c r="B10" s="8" t="s">
        <v>21</v>
      </c>
      <c r="C10" s="7" t="n">
        <v>8</v>
      </c>
      <c r="D10" s="9" t="n">
        <v>4880000</v>
      </c>
      <c r="E10" s="9" t="n">
        <v>1000000</v>
      </c>
      <c r="F10" s="9" t="n">
        <v>3960000</v>
      </c>
      <c r="G10" s="9" t="n">
        <v>910000</v>
      </c>
      <c r="H10" s="9" t="n">
        <v>880000</v>
      </c>
      <c r="I10" s="9" t="n">
        <v>2760000</v>
      </c>
      <c r="J10" s="9" t="n">
        <v>910000</v>
      </c>
      <c r="K10" s="9" t="n">
        <v>900000</v>
      </c>
      <c r="L10" s="9" t="n">
        <v>2030000</v>
      </c>
      <c r="M10" s="6" t="n">
        <f aca="false">SUM(D10:L10)</f>
        <v>18230000</v>
      </c>
    </row>
    <row r="11" customFormat="false" ht="15" hidden="false" customHeight="false" outlineLevel="0" collapsed="false">
      <c r="A11" s="3" t="n">
        <v>2022</v>
      </c>
      <c r="B11" s="4" t="s">
        <v>22</v>
      </c>
      <c r="C11" s="3" t="n">
        <v>9</v>
      </c>
      <c r="D11" s="5" t="n">
        <v>5410000</v>
      </c>
      <c r="E11" s="5" t="n">
        <v>990000</v>
      </c>
      <c r="F11" s="5" t="n">
        <v>4180000</v>
      </c>
      <c r="G11" s="5" t="n">
        <v>1000000</v>
      </c>
      <c r="H11" s="5" t="n">
        <v>1090000</v>
      </c>
      <c r="I11" s="5" t="n">
        <v>3040000</v>
      </c>
      <c r="J11" s="5" t="n">
        <v>980000</v>
      </c>
      <c r="K11" s="5" t="n">
        <v>980000</v>
      </c>
      <c r="L11" s="5" t="n">
        <v>2060000</v>
      </c>
      <c r="M11" s="6" t="n">
        <f aca="false">SUM(D11:L11)</f>
        <v>19730000</v>
      </c>
    </row>
    <row r="12" customFormat="false" ht="15" hidden="false" customHeight="false" outlineLevel="0" collapsed="false">
      <c r="A12" s="7" t="n">
        <v>2022</v>
      </c>
      <c r="B12" s="8" t="s">
        <v>23</v>
      </c>
      <c r="C12" s="7" t="n">
        <v>10</v>
      </c>
      <c r="D12" s="9" t="n">
        <v>8070000</v>
      </c>
      <c r="E12" s="9" t="n">
        <v>1700000</v>
      </c>
      <c r="F12" s="9" t="n">
        <v>7140000</v>
      </c>
      <c r="G12" s="9" t="n">
        <v>1650000</v>
      </c>
      <c r="H12" s="9" t="n">
        <v>1600000</v>
      </c>
      <c r="I12" s="9" t="n">
        <v>5430000</v>
      </c>
      <c r="J12" s="9" t="n">
        <v>1680000</v>
      </c>
      <c r="K12" s="9" t="n">
        <v>1570000</v>
      </c>
      <c r="L12" s="9" t="n">
        <v>3110000</v>
      </c>
      <c r="M12" s="6" t="n">
        <f aca="false">SUM(D12:L12)</f>
        <v>31950000</v>
      </c>
    </row>
    <row r="13" customFormat="false" ht="15" hidden="false" customHeight="false" outlineLevel="0" collapsed="false">
      <c r="A13" s="3" t="n">
        <v>2022</v>
      </c>
      <c r="B13" s="4" t="s">
        <v>24</v>
      </c>
      <c r="C13" s="3" t="n">
        <v>11</v>
      </c>
      <c r="D13" s="5" t="n">
        <v>7860000</v>
      </c>
      <c r="E13" s="5" t="n">
        <v>1710000</v>
      </c>
      <c r="F13" s="5" t="n">
        <v>7020000</v>
      </c>
      <c r="G13" s="5" t="n">
        <v>1660000</v>
      </c>
      <c r="H13" s="5" t="n">
        <v>1560000</v>
      </c>
      <c r="I13" s="5" t="n">
        <v>4940000</v>
      </c>
      <c r="J13" s="5" t="n">
        <v>1810000</v>
      </c>
      <c r="K13" s="5" t="n">
        <v>1680000</v>
      </c>
      <c r="L13" s="5" t="n">
        <v>3610000</v>
      </c>
      <c r="M13" s="6" t="n">
        <f aca="false">SUM(D13:L13)</f>
        <v>31850000</v>
      </c>
    </row>
    <row r="14" customFormat="false" ht="15" hidden="false" customHeight="false" outlineLevel="0" collapsed="false">
      <c r="A14" s="7" t="n">
        <v>2022</v>
      </c>
      <c r="B14" s="8" t="s">
        <v>25</v>
      </c>
      <c r="C14" s="7" t="n">
        <v>12</v>
      </c>
      <c r="D14" s="9" t="n">
        <v>8480000</v>
      </c>
      <c r="E14" s="9" t="n">
        <v>1480000</v>
      </c>
      <c r="F14" s="9" t="n">
        <v>6640000</v>
      </c>
      <c r="G14" s="9" t="n">
        <v>1650000</v>
      </c>
      <c r="H14" s="9" t="n">
        <v>1610000</v>
      </c>
      <c r="I14" s="9" t="n">
        <v>4630000</v>
      </c>
      <c r="J14" s="9" t="n">
        <v>1640000</v>
      </c>
      <c r="K14" s="9" t="n">
        <v>1500000</v>
      </c>
      <c r="L14" s="9" t="n">
        <v>3170000</v>
      </c>
      <c r="M14" s="6" t="n">
        <f aca="false">SUM(D14:L14)</f>
        <v>30800000</v>
      </c>
    </row>
    <row r="15" customFormat="false" ht="39.55" hidden="false" customHeight="false" outlineLevel="0" collapsed="false">
      <c r="A15" s="10" t="n">
        <v>2022</v>
      </c>
      <c r="B15" s="10" t="s">
        <v>26</v>
      </c>
      <c r="C15" s="10"/>
      <c r="D15" s="11" t="n">
        <f aca="false">SUM(D3:D14)</f>
        <v>84420000</v>
      </c>
      <c r="E15" s="11" t="n">
        <f aca="false">SUM(E3:E14)</f>
        <v>16600000</v>
      </c>
      <c r="F15" s="11" t="n">
        <f aca="false">SUM(F3:F14)</f>
        <v>69120000</v>
      </c>
      <c r="G15" s="11" t="n">
        <f aca="false">SUM(G3:G14)</f>
        <v>16860000</v>
      </c>
      <c r="H15" s="11" t="n">
        <f aca="false">SUM(H3:H14)</f>
        <v>16700000</v>
      </c>
      <c r="I15" s="11" t="n">
        <f aca="false">SUM(I3:I14)</f>
        <v>50320000</v>
      </c>
      <c r="J15" s="11" t="n">
        <f aca="false">SUM(J3:J14)</f>
        <v>17320000</v>
      </c>
      <c r="K15" s="11" t="n">
        <f aca="false">SUM(K3:K14)</f>
        <v>16290000</v>
      </c>
      <c r="L15" s="11" t="n">
        <f aca="false">SUM(L3:L14)</f>
        <v>33730000</v>
      </c>
      <c r="M15" s="12" t="n">
        <f aca="false">SUM(M3:M14)</f>
        <v>321360000</v>
      </c>
    </row>
    <row r="16" customFormat="false" ht="15" hidden="false" customHeight="false" outlineLevel="0" collapsed="false">
      <c r="A16" s="7" t="n">
        <v>2023</v>
      </c>
      <c r="B16" s="8" t="s">
        <v>14</v>
      </c>
      <c r="C16" s="7" t="n">
        <v>1</v>
      </c>
      <c r="D16" s="9" t="n">
        <v>8360000</v>
      </c>
      <c r="E16" s="9" t="n">
        <v>1810000</v>
      </c>
      <c r="F16" s="9" t="n">
        <v>7140000</v>
      </c>
      <c r="G16" s="9" t="n">
        <v>1620000</v>
      </c>
      <c r="H16" s="9" t="n">
        <v>1680000</v>
      </c>
      <c r="I16" s="9" t="n">
        <v>4790000</v>
      </c>
      <c r="J16" s="9" t="n">
        <v>1800000</v>
      </c>
      <c r="K16" s="9" t="n">
        <v>1780000</v>
      </c>
      <c r="L16" s="9" t="n">
        <v>3260000</v>
      </c>
      <c r="M16" s="6" t="n">
        <f aca="false">SUM(D16:L16)</f>
        <v>32240000</v>
      </c>
    </row>
    <row r="17" customFormat="false" ht="15" hidden="false" customHeight="false" outlineLevel="0" collapsed="false">
      <c r="A17" s="3" t="n">
        <v>2023</v>
      </c>
      <c r="B17" s="4" t="s">
        <v>15</v>
      </c>
      <c r="C17" s="3" t="n">
        <v>2</v>
      </c>
      <c r="D17" s="5" t="n">
        <v>8610000</v>
      </c>
      <c r="E17" s="5" t="n">
        <v>1710000</v>
      </c>
      <c r="F17" s="5" t="n">
        <v>6360000</v>
      </c>
      <c r="G17" s="5" t="n">
        <v>1760000</v>
      </c>
      <c r="H17" s="5" t="n">
        <v>1690000</v>
      </c>
      <c r="I17" s="5" t="n">
        <v>5280000</v>
      </c>
      <c r="J17" s="5" t="n">
        <v>1690000</v>
      </c>
      <c r="K17" s="5" t="n">
        <v>1550000</v>
      </c>
      <c r="L17" s="5" t="n">
        <v>3270000</v>
      </c>
      <c r="M17" s="6" t="n">
        <f aca="false">SUM(D17:L17)</f>
        <v>31920000</v>
      </c>
    </row>
    <row r="18" customFormat="false" ht="15" hidden="false" customHeight="false" outlineLevel="0" collapsed="false">
      <c r="A18" s="7" t="n">
        <v>2023</v>
      </c>
      <c r="B18" s="8" t="s">
        <v>16</v>
      </c>
      <c r="C18" s="7" t="n">
        <v>3</v>
      </c>
      <c r="D18" s="9" t="n">
        <v>8130000</v>
      </c>
      <c r="E18" s="9" t="n">
        <v>1880000</v>
      </c>
      <c r="F18" s="9" t="n">
        <v>7470000</v>
      </c>
      <c r="G18" s="9" t="n">
        <v>1850000</v>
      </c>
      <c r="H18" s="9" t="n">
        <v>1710000</v>
      </c>
      <c r="I18" s="9" t="n">
        <v>4910000</v>
      </c>
      <c r="J18" s="9" t="n">
        <v>1870000</v>
      </c>
      <c r="K18" s="9" t="n">
        <v>1890000</v>
      </c>
      <c r="L18" s="9" t="n">
        <v>3290000</v>
      </c>
      <c r="M18" s="6" t="n">
        <f aca="false">SUM(D18:L18)</f>
        <v>33000000</v>
      </c>
    </row>
    <row r="19" customFormat="false" ht="15" hidden="false" customHeight="false" outlineLevel="0" collapsed="false">
      <c r="A19" s="3" t="n">
        <v>2023</v>
      </c>
      <c r="B19" s="4" t="s">
        <v>17</v>
      </c>
      <c r="C19" s="3" t="n">
        <v>4</v>
      </c>
      <c r="D19" s="5" t="n">
        <v>8400000</v>
      </c>
      <c r="E19" s="5" t="n">
        <v>1570000</v>
      </c>
      <c r="F19" s="5" t="n">
        <v>7020000</v>
      </c>
      <c r="G19" s="5" t="n">
        <v>1760000</v>
      </c>
      <c r="H19" s="5" t="n">
        <v>1580000</v>
      </c>
      <c r="I19" s="5" t="n">
        <v>5030000</v>
      </c>
      <c r="J19" s="5" t="n">
        <v>1700000</v>
      </c>
      <c r="K19" s="5" t="n">
        <v>1620000</v>
      </c>
      <c r="L19" s="5" t="n">
        <v>3570000</v>
      </c>
      <c r="M19" s="6" t="n">
        <f aca="false">SUM(D19:L19)</f>
        <v>32250000</v>
      </c>
    </row>
    <row r="20" customFormat="false" ht="15" hidden="false" customHeight="false" outlineLevel="0" collapsed="false">
      <c r="A20" s="7" t="n">
        <v>2023</v>
      </c>
      <c r="B20" s="8" t="s">
        <v>18</v>
      </c>
      <c r="C20" s="7" t="n">
        <v>5</v>
      </c>
      <c r="D20" s="9" t="n">
        <v>7940000</v>
      </c>
      <c r="E20" s="9" t="n">
        <v>1530000</v>
      </c>
      <c r="F20" s="9" t="n">
        <v>6470000</v>
      </c>
      <c r="G20" s="9" t="n">
        <v>1670000</v>
      </c>
      <c r="H20" s="9" t="n">
        <v>1530000</v>
      </c>
      <c r="I20" s="9" t="n">
        <v>4680000</v>
      </c>
      <c r="J20" s="9" t="n">
        <v>1740000</v>
      </c>
      <c r="K20" s="9" t="n">
        <v>1650000</v>
      </c>
      <c r="L20" s="9" t="n">
        <v>3180000</v>
      </c>
      <c r="M20" s="6" t="n">
        <f aca="false">SUM(D20:L20)</f>
        <v>30390000</v>
      </c>
    </row>
    <row r="21" customFormat="false" ht="15" hidden="false" customHeight="false" outlineLevel="0" collapsed="false">
      <c r="A21" s="3" t="n">
        <v>2023</v>
      </c>
      <c r="B21" s="4" t="s">
        <v>19</v>
      </c>
      <c r="C21" s="3" t="n">
        <v>6</v>
      </c>
      <c r="D21" s="5" t="n">
        <v>5370000</v>
      </c>
      <c r="E21" s="5" t="n">
        <v>1010000</v>
      </c>
      <c r="F21" s="5" t="n">
        <v>4100000</v>
      </c>
      <c r="G21" s="5" t="n">
        <v>1040000</v>
      </c>
      <c r="H21" s="5" t="n">
        <v>1090000</v>
      </c>
      <c r="I21" s="5" t="n">
        <v>3080000</v>
      </c>
      <c r="J21" s="5" t="n">
        <v>1020000</v>
      </c>
      <c r="K21" s="5" t="n">
        <v>1000000</v>
      </c>
      <c r="L21" s="5" t="n">
        <v>2190000</v>
      </c>
      <c r="M21" s="6" t="n">
        <f aca="false">SUM(D21:L21)</f>
        <v>19900000</v>
      </c>
    </row>
    <row r="22" customFormat="false" ht="15" hidden="false" customHeight="false" outlineLevel="0" collapsed="false">
      <c r="A22" s="7" t="n">
        <v>2023</v>
      </c>
      <c r="B22" s="8" t="s">
        <v>20</v>
      </c>
      <c r="C22" s="7" t="n">
        <v>7</v>
      </c>
      <c r="D22" s="9" t="n">
        <v>4760000</v>
      </c>
      <c r="E22" s="9" t="n">
        <v>1060000</v>
      </c>
      <c r="F22" s="9" t="n">
        <v>4210000</v>
      </c>
      <c r="G22" s="9" t="n">
        <v>930000</v>
      </c>
      <c r="H22" s="9" t="n">
        <v>950000</v>
      </c>
      <c r="I22" s="9" t="n">
        <v>3070000</v>
      </c>
      <c r="J22" s="9" t="n">
        <v>950000</v>
      </c>
      <c r="K22" s="9" t="n">
        <v>940000</v>
      </c>
      <c r="L22" s="9" t="n">
        <v>2130000</v>
      </c>
      <c r="M22" s="6" t="n">
        <f aca="false">SUM(D22:L22)</f>
        <v>19000000</v>
      </c>
    </row>
    <row r="23" customFormat="false" ht="15" hidden="false" customHeight="false" outlineLevel="0" collapsed="false">
      <c r="A23" s="3" t="n">
        <v>2023</v>
      </c>
      <c r="B23" s="4" t="s">
        <v>21</v>
      </c>
      <c r="C23" s="3" t="n">
        <v>8</v>
      </c>
      <c r="D23" s="5" t="n">
        <v>5030000</v>
      </c>
      <c r="E23" s="5" t="n">
        <v>990000</v>
      </c>
      <c r="F23" s="5" t="n">
        <v>4160000</v>
      </c>
      <c r="G23" s="5" t="n">
        <v>1040000</v>
      </c>
      <c r="H23" s="5" t="n">
        <v>950000</v>
      </c>
      <c r="I23" s="5" t="n">
        <v>2790000</v>
      </c>
      <c r="J23" s="5" t="n">
        <v>980000</v>
      </c>
      <c r="K23" s="5" t="n">
        <v>980000</v>
      </c>
      <c r="L23" s="5" t="n">
        <v>1980000</v>
      </c>
      <c r="M23" s="6" t="n">
        <f aca="false">SUM(D23:L23)</f>
        <v>18900000</v>
      </c>
    </row>
    <row r="24" customFormat="false" ht="15" hidden="false" customHeight="false" outlineLevel="0" collapsed="false">
      <c r="A24" s="7" t="n">
        <v>2023</v>
      </c>
      <c r="B24" s="8" t="s">
        <v>22</v>
      </c>
      <c r="C24" s="7" t="n">
        <v>9</v>
      </c>
      <c r="D24" s="9" t="n">
        <v>5560000</v>
      </c>
      <c r="E24" s="9" t="n">
        <v>1100000</v>
      </c>
      <c r="F24" s="9" t="n">
        <v>4620000</v>
      </c>
      <c r="G24" s="9" t="n">
        <v>1000000</v>
      </c>
      <c r="H24" s="9" t="n">
        <v>1060000</v>
      </c>
      <c r="I24" s="9" t="n">
        <v>3130000</v>
      </c>
      <c r="J24" s="9" t="n">
        <v>1130000</v>
      </c>
      <c r="K24" s="9" t="n">
        <v>1030000</v>
      </c>
      <c r="L24" s="9" t="n">
        <v>2040000</v>
      </c>
      <c r="M24" s="6" t="n">
        <f aca="false">SUM(D24:L24)</f>
        <v>20670000</v>
      </c>
    </row>
    <row r="25" customFormat="false" ht="15" hidden="false" customHeight="false" outlineLevel="0" collapsed="false">
      <c r="A25" s="3" t="n">
        <v>2023</v>
      </c>
      <c r="B25" s="4" t="s">
        <v>23</v>
      </c>
      <c r="C25" s="3" t="n">
        <v>10</v>
      </c>
      <c r="D25" s="5" t="n">
        <v>8730000</v>
      </c>
      <c r="E25" s="5" t="n">
        <v>1740000</v>
      </c>
      <c r="F25" s="5" t="n">
        <v>6790000</v>
      </c>
      <c r="G25" s="5" t="n">
        <v>1690000</v>
      </c>
      <c r="H25" s="5" t="n">
        <v>1880000</v>
      </c>
      <c r="I25" s="5" t="n">
        <v>5230000</v>
      </c>
      <c r="J25" s="5" t="n">
        <v>1860000</v>
      </c>
      <c r="K25" s="5" t="n">
        <v>1780000</v>
      </c>
      <c r="L25" s="5" t="n">
        <v>3270000</v>
      </c>
      <c r="M25" s="6" t="n">
        <f aca="false">SUM(D25:L25)</f>
        <v>32970000</v>
      </c>
    </row>
    <row r="26" customFormat="false" ht="15" hidden="false" customHeight="false" outlineLevel="0" collapsed="false">
      <c r="A26" s="7" t="n">
        <v>2023</v>
      </c>
      <c r="B26" s="8" t="s">
        <v>24</v>
      </c>
      <c r="C26" s="7" t="n">
        <v>11</v>
      </c>
      <c r="D26" s="9" t="n">
        <v>9510000</v>
      </c>
      <c r="E26" s="9" t="n">
        <v>1860000</v>
      </c>
      <c r="F26" s="9" t="n">
        <v>7570000</v>
      </c>
      <c r="G26" s="9" t="n">
        <v>1880000</v>
      </c>
      <c r="H26" s="9" t="n">
        <v>1860000</v>
      </c>
      <c r="I26" s="9" t="n">
        <v>5000000</v>
      </c>
      <c r="J26" s="9" t="n">
        <v>1760000</v>
      </c>
      <c r="K26" s="9" t="n">
        <v>1680000</v>
      </c>
      <c r="L26" s="9" t="n">
        <v>3470000</v>
      </c>
      <c r="M26" s="6" t="n">
        <f aca="false">SUM(D26:L26)</f>
        <v>34590000</v>
      </c>
    </row>
    <row r="27" customFormat="false" ht="15" hidden="false" customHeight="false" outlineLevel="0" collapsed="false">
      <c r="A27" s="3" t="n">
        <v>2023</v>
      </c>
      <c r="B27" s="4" t="s">
        <v>25</v>
      </c>
      <c r="C27" s="3" t="n">
        <v>12</v>
      </c>
      <c r="D27" s="5" t="n">
        <v>7830000</v>
      </c>
      <c r="E27" s="5" t="n">
        <v>1650000</v>
      </c>
      <c r="F27" s="5" t="n">
        <v>7260000</v>
      </c>
      <c r="G27" s="5" t="n">
        <v>1620000</v>
      </c>
      <c r="H27" s="5" t="n">
        <v>1760000</v>
      </c>
      <c r="I27" s="5" t="n">
        <v>5020000</v>
      </c>
      <c r="J27" s="5" t="n">
        <v>1660000</v>
      </c>
      <c r="K27" s="5" t="n">
        <v>1810000</v>
      </c>
      <c r="L27" s="5" t="n">
        <v>3640000</v>
      </c>
      <c r="M27" s="6" t="n">
        <f aca="false">SUM(D27:L27)</f>
        <v>32250000</v>
      </c>
    </row>
    <row r="28" customFormat="false" ht="39.55" hidden="false" customHeight="false" outlineLevel="0" collapsed="false">
      <c r="A28" s="10" t="n">
        <v>2023</v>
      </c>
      <c r="B28" s="10" t="s">
        <v>26</v>
      </c>
      <c r="C28" s="10"/>
      <c r="D28" s="11" t="n">
        <f aca="false">SUM(D16:D27)</f>
        <v>88230000</v>
      </c>
      <c r="E28" s="11" t="n">
        <f aca="false">SUM(E16:E27)</f>
        <v>17910000</v>
      </c>
      <c r="F28" s="11" t="n">
        <f aca="false">SUM(F16:F27)</f>
        <v>73170000</v>
      </c>
      <c r="G28" s="11" t="n">
        <f aca="false">SUM(G16:G27)</f>
        <v>17860000</v>
      </c>
      <c r="H28" s="11" t="n">
        <f aca="false">SUM(H16:H27)</f>
        <v>17740000</v>
      </c>
      <c r="I28" s="11" t="n">
        <f aca="false">SUM(I16:I27)</f>
        <v>52010000</v>
      </c>
      <c r="J28" s="11" t="n">
        <f aca="false">SUM(J16:J27)</f>
        <v>18160000</v>
      </c>
      <c r="K28" s="11" t="n">
        <f aca="false">SUM(K16:K27)</f>
        <v>17710000</v>
      </c>
      <c r="L28" s="11" t="n">
        <f aca="false">SUM(L16:L27)</f>
        <v>35290000</v>
      </c>
      <c r="M28" s="12" t="n">
        <f aca="false">SUM(M16:M27)</f>
        <v>338080000</v>
      </c>
    </row>
    <row r="29" customFormat="false" ht="15" hidden="false" customHeight="false" outlineLevel="0" collapsed="false">
      <c r="A29" s="3" t="n">
        <v>2024</v>
      </c>
      <c r="B29" s="4" t="s">
        <v>14</v>
      </c>
      <c r="C29" s="3" t="n">
        <v>1</v>
      </c>
      <c r="D29" s="5" t="n">
        <v>8920000</v>
      </c>
      <c r="E29" s="5" t="n">
        <v>1830000</v>
      </c>
      <c r="F29" s="5" t="n">
        <v>6680000</v>
      </c>
      <c r="G29" s="5" t="n">
        <v>1710000</v>
      </c>
      <c r="H29" s="5" t="n">
        <v>1900000</v>
      </c>
      <c r="I29" s="5" t="n">
        <v>5370000</v>
      </c>
      <c r="J29" s="5" t="n">
        <v>1780000</v>
      </c>
      <c r="K29" s="5" t="n">
        <v>1840000</v>
      </c>
      <c r="L29" s="5" t="n">
        <v>3290000</v>
      </c>
      <c r="M29" s="6" t="n">
        <f aca="false">SUM(D29:L29)</f>
        <v>33320000</v>
      </c>
    </row>
    <row r="30" customFormat="false" ht="15" hidden="false" customHeight="false" outlineLevel="0" collapsed="false">
      <c r="A30" s="7" t="n">
        <v>2024</v>
      </c>
      <c r="B30" s="8" t="s">
        <v>15</v>
      </c>
      <c r="C30" s="7" t="n">
        <v>2</v>
      </c>
      <c r="D30" s="9" t="n">
        <v>8960000</v>
      </c>
      <c r="E30" s="9" t="n">
        <v>1770000</v>
      </c>
      <c r="F30" s="9" t="n">
        <v>7470000</v>
      </c>
      <c r="G30" s="9" t="n">
        <v>1670000</v>
      </c>
      <c r="H30" s="9" t="n">
        <v>1900000</v>
      </c>
      <c r="I30" s="9" t="n">
        <v>4950000</v>
      </c>
      <c r="J30" s="9" t="n">
        <v>1680000</v>
      </c>
      <c r="K30" s="9" t="n">
        <v>1800000</v>
      </c>
      <c r="L30" s="9" t="n">
        <v>3640000</v>
      </c>
      <c r="M30" s="6" t="n">
        <f aca="false">SUM(D30:L30)</f>
        <v>33840000</v>
      </c>
    </row>
    <row r="31" customFormat="false" ht="15" hidden="false" customHeight="false" outlineLevel="0" collapsed="false">
      <c r="A31" s="3" t="n">
        <v>2024</v>
      </c>
      <c r="B31" s="4" t="s">
        <v>16</v>
      </c>
      <c r="C31" s="3" t="n">
        <v>3</v>
      </c>
      <c r="D31" s="5" t="n">
        <v>8850000</v>
      </c>
      <c r="E31" s="5" t="n">
        <v>1740000</v>
      </c>
      <c r="F31" s="5" t="n">
        <v>7860000</v>
      </c>
      <c r="G31" s="5" t="n">
        <v>1770000</v>
      </c>
      <c r="H31" s="5" t="n">
        <v>1880000</v>
      </c>
      <c r="I31" s="5" t="n">
        <v>5650000</v>
      </c>
      <c r="J31" s="5" t="n">
        <v>1830000</v>
      </c>
      <c r="K31" s="5" t="n">
        <v>1870000</v>
      </c>
      <c r="L31" s="5" t="n">
        <v>3710000</v>
      </c>
      <c r="M31" s="6" t="n">
        <f aca="false">SUM(D31:L31)</f>
        <v>35160000</v>
      </c>
    </row>
    <row r="32" customFormat="false" ht="15" hidden="false" customHeight="false" outlineLevel="0" collapsed="false">
      <c r="A32" s="7" t="n">
        <v>2024</v>
      </c>
      <c r="B32" s="8" t="s">
        <v>17</v>
      </c>
      <c r="C32" s="7" t="n">
        <v>4</v>
      </c>
      <c r="D32" s="9" t="n">
        <v>9460000</v>
      </c>
      <c r="E32" s="9" t="n">
        <v>1680000</v>
      </c>
      <c r="F32" s="9" t="n">
        <v>7320000</v>
      </c>
      <c r="G32" s="9" t="n">
        <v>1690000</v>
      </c>
      <c r="H32" s="9" t="n">
        <v>1740000</v>
      </c>
      <c r="I32" s="9" t="n">
        <v>5450000</v>
      </c>
      <c r="J32" s="9" t="n">
        <v>1710000</v>
      </c>
      <c r="K32" s="9" t="n">
        <v>1720000</v>
      </c>
      <c r="L32" s="9" t="n">
        <v>3680000</v>
      </c>
      <c r="M32" s="6" t="n">
        <f aca="false">SUM(D32:L32)</f>
        <v>34450000</v>
      </c>
    </row>
    <row r="33" customFormat="false" ht="15" hidden="false" customHeight="false" outlineLevel="0" collapsed="false">
      <c r="A33" s="3" t="n">
        <v>2024</v>
      </c>
      <c r="B33" s="4" t="s">
        <v>18</v>
      </c>
      <c r="C33" s="3" t="n">
        <v>5</v>
      </c>
      <c r="D33" s="5" t="n">
        <v>7860000</v>
      </c>
      <c r="E33" s="5" t="n">
        <v>1680000</v>
      </c>
      <c r="F33" s="5" t="n">
        <v>7290000</v>
      </c>
      <c r="G33" s="5" t="n">
        <v>1820000</v>
      </c>
      <c r="H33" s="5" t="n">
        <v>1570000</v>
      </c>
      <c r="I33" s="5" t="n">
        <v>4830000</v>
      </c>
      <c r="J33" s="5" t="n">
        <v>1620000</v>
      </c>
      <c r="K33" s="5" t="n">
        <v>1810000</v>
      </c>
      <c r="L33" s="5" t="n">
        <v>3580000</v>
      </c>
      <c r="M33" s="6" t="n">
        <f aca="false">SUM(D33:L33)</f>
        <v>32060000</v>
      </c>
    </row>
    <row r="34" customFormat="false" ht="15" hidden="false" customHeight="false" outlineLevel="0" collapsed="false">
      <c r="A34" s="7" t="n">
        <v>2024</v>
      </c>
      <c r="B34" s="8" t="s">
        <v>19</v>
      </c>
      <c r="C34" s="7" t="n">
        <v>6</v>
      </c>
      <c r="D34" s="9" t="n">
        <v>5970000</v>
      </c>
      <c r="E34" s="9" t="n">
        <v>1100000</v>
      </c>
      <c r="F34" s="9" t="n">
        <v>4260000</v>
      </c>
      <c r="G34" s="9" t="n">
        <v>1190000</v>
      </c>
      <c r="H34" s="9" t="n">
        <v>1160000</v>
      </c>
      <c r="I34" s="9" t="n">
        <v>3440000</v>
      </c>
      <c r="J34" s="9" t="n">
        <v>1210000</v>
      </c>
      <c r="K34" s="9" t="n">
        <v>1150000</v>
      </c>
      <c r="L34" s="9" t="n">
        <v>2070000</v>
      </c>
      <c r="M34" s="6" t="n">
        <f aca="false">SUM(D34:L34)</f>
        <v>21550000</v>
      </c>
    </row>
    <row r="35" customFormat="false" ht="15" hidden="false" customHeight="false" outlineLevel="0" collapsed="false">
      <c r="A35" s="3" t="n">
        <v>2024</v>
      </c>
      <c r="B35" s="4" t="s">
        <v>20</v>
      </c>
      <c r="C35" s="3" t="n">
        <v>7</v>
      </c>
      <c r="D35" s="5" t="n">
        <v>5490000</v>
      </c>
      <c r="E35" s="5" t="n">
        <v>1010000</v>
      </c>
      <c r="F35" s="5" t="n">
        <v>4290000</v>
      </c>
      <c r="G35" s="5" t="n">
        <v>1120000</v>
      </c>
      <c r="H35" s="5" t="n">
        <v>980000</v>
      </c>
      <c r="I35" s="5" t="n">
        <v>2940000</v>
      </c>
      <c r="J35" s="5" t="n">
        <v>980000</v>
      </c>
      <c r="K35" s="5" t="n">
        <v>1050000</v>
      </c>
      <c r="L35" s="5" t="n">
        <v>2010000</v>
      </c>
      <c r="M35" s="6" t="n">
        <f aca="false">SUM(D35:L35)</f>
        <v>19870000</v>
      </c>
    </row>
    <row r="36" customFormat="false" ht="15" hidden="false" customHeight="false" outlineLevel="0" collapsed="false">
      <c r="A36" s="7" t="n">
        <v>2024</v>
      </c>
      <c r="B36" s="8" t="s">
        <v>21</v>
      </c>
      <c r="C36" s="7" t="n">
        <v>8</v>
      </c>
      <c r="D36" s="9" t="n">
        <v>5310000</v>
      </c>
      <c r="E36" s="9" t="n">
        <v>1080000</v>
      </c>
      <c r="F36" s="9" t="n">
        <v>3980000</v>
      </c>
      <c r="G36" s="9" t="n">
        <v>1070000</v>
      </c>
      <c r="H36" s="9" t="n">
        <v>1010000</v>
      </c>
      <c r="I36" s="9" t="n">
        <v>3130000</v>
      </c>
      <c r="J36" s="9" t="n">
        <v>1110000</v>
      </c>
      <c r="K36" s="9" t="n">
        <v>1100000</v>
      </c>
      <c r="L36" s="9" t="n">
        <v>1950000</v>
      </c>
      <c r="M36" s="6" t="n">
        <f aca="false">SUM(D36:L36)</f>
        <v>19740000</v>
      </c>
    </row>
    <row r="37" customFormat="false" ht="15" hidden="false" customHeight="false" outlineLevel="0" collapsed="false">
      <c r="A37" s="3" t="n">
        <v>2024</v>
      </c>
      <c r="B37" s="4" t="s">
        <v>22</v>
      </c>
      <c r="C37" s="3" t="n">
        <v>9</v>
      </c>
      <c r="D37" s="5" t="n">
        <v>5560000</v>
      </c>
      <c r="E37" s="5" t="n">
        <v>1090000</v>
      </c>
      <c r="F37" s="5" t="n">
        <v>4140000</v>
      </c>
      <c r="G37" s="5" t="n">
        <v>1170000</v>
      </c>
      <c r="H37" s="5" t="n">
        <v>1150000</v>
      </c>
      <c r="I37" s="5" t="n">
        <v>3250000</v>
      </c>
      <c r="J37" s="5" t="n">
        <v>1170000</v>
      </c>
      <c r="K37" s="5" t="n">
        <v>1130000</v>
      </c>
      <c r="L37" s="5" t="n">
        <v>2220000</v>
      </c>
      <c r="M37" s="6" t="n">
        <f aca="false">SUM(D37:L37)</f>
        <v>20880000</v>
      </c>
    </row>
    <row r="38" customFormat="false" ht="15" hidden="false" customHeight="false" outlineLevel="0" collapsed="false">
      <c r="A38" s="7" t="n">
        <v>2024</v>
      </c>
      <c r="B38" s="8" t="s">
        <v>23</v>
      </c>
      <c r="C38" s="7" t="n">
        <v>10</v>
      </c>
      <c r="D38" s="9" t="n">
        <v>8520000</v>
      </c>
      <c r="E38" s="9" t="n">
        <v>1720000</v>
      </c>
      <c r="F38" s="9" t="n">
        <v>7850000</v>
      </c>
      <c r="G38" s="9" t="n">
        <v>1970000</v>
      </c>
      <c r="H38" s="9" t="n">
        <v>1860000</v>
      </c>
      <c r="I38" s="9" t="n">
        <v>5840000</v>
      </c>
      <c r="J38" s="9" t="n">
        <v>1870000</v>
      </c>
      <c r="K38" s="9" t="n">
        <v>1740000</v>
      </c>
      <c r="L38" s="9" t="n">
        <v>3480000</v>
      </c>
      <c r="M38" s="6" t="n">
        <f aca="false">SUM(D38:L38)</f>
        <v>34850000</v>
      </c>
    </row>
    <row r="39" customFormat="false" ht="15" hidden="false" customHeight="false" outlineLevel="0" collapsed="false">
      <c r="A39" s="3" t="n">
        <v>2024</v>
      </c>
      <c r="B39" s="4" t="s">
        <v>24</v>
      </c>
      <c r="C39" s="3" t="n">
        <v>11</v>
      </c>
      <c r="D39" s="5" t="n">
        <v>8960000</v>
      </c>
      <c r="E39" s="5" t="n">
        <v>1970000</v>
      </c>
      <c r="F39" s="5" t="n">
        <v>7750000</v>
      </c>
      <c r="G39" s="5" t="n">
        <v>1960000</v>
      </c>
      <c r="H39" s="5" t="n">
        <v>1970000</v>
      </c>
      <c r="I39" s="5" t="n">
        <v>5290000</v>
      </c>
      <c r="J39" s="5" t="n">
        <v>1770000</v>
      </c>
      <c r="K39" s="5" t="n">
        <v>1730000</v>
      </c>
      <c r="L39" s="5" t="n">
        <v>3860000</v>
      </c>
      <c r="M39" s="6" t="n">
        <f aca="false">SUM(D39:L39)</f>
        <v>35260000</v>
      </c>
    </row>
    <row r="40" customFormat="false" ht="15" hidden="false" customHeight="false" outlineLevel="0" collapsed="false">
      <c r="A40" s="7" t="n">
        <v>2024</v>
      </c>
      <c r="B40" s="8" t="s">
        <v>25</v>
      </c>
      <c r="C40" s="7" t="n">
        <v>12</v>
      </c>
      <c r="D40" s="9" t="n">
        <v>9390000</v>
      </c>
      <c r="E40" s="9" t="n">
        <v>1740000</v>
      </c>
      <c r="F40" s="9" t="n">
        <v>7210000</v>
      </c>
      <c r="G40" s="9" t="n">
        <v>1670000</v>
      </c>
      <c r="H40" s="9" t="n">
        <v>1890000</v>
      </c>
      <c r="I40" s="9" t="n">
        <v>5620000</v>
      </c>
      <c r="J40" s="9" t="n">
        <v>1900000</v>
      </c>
      <c r="K40" s="9" t="n">
        <v>1860000</v>
      </c>
      <c r="L40" s="9" t="n">
        <v>3750000</v>
      </c>
      <c r="M40" s="6" t="n">
        <f aca="false">SUM(D40:L40)</f>
        <v>35030000</v>
      </c>
    </row>
    <row r="41" customFormat="false" ht="39.55" hidden="false" customHeight="false" outlineLevel="0" collapsed="false">
      <c r="A41" s="10" t="n">
        <v>2024</v>
      </c>
      <c r="B41" s="10" t="s">
        <v>26</v>
      </c>
      <c r="C41" s="10"/>
      <c r="D41" s="11" t="n">
        <f aca="false">SUM(D29:D40)</f>
        <v>93250000</v>
      </c>
      <c r="E41" s="11" t="n">
        <f aca="false">SUM(E29:E40)</f>
        <v>18410000</v>
      </c>
      <c r="F41" s="11" t="n">
        <f aca="false">SUM(F29:F40)</f>
        <v>76100000</v>
      </c>
      <c r="G41" s="11" t="n">
        <f aca="false">SUM(G29:G40)</f>
        <v>18810000</v>
      </c>
      <c r="H41" s="11" t="n">
        <f aca="false">SUM(H29:H40)</f>
        <v>19010000</v>
      </c>
      <c r="I41" s="11" t="n">
        <f aca="false">SUM(I29:I40)</f>
        <v>55760000</v>
      </c>
      <c r="J41" s="11" t="n">
        <f aca="false">SUM(J29:J40)</f>
        <v>18630000</v>
      </c>
      <c r="K41" s="11" t="n">
        <f aca="false">SUM(K29:K40)</f>
        <v>18800000</v>
      </c>
      <c r="L41" s="11" t="n">
        <f aca="false">SUM(L29:L40)</f>
        <v>37240000</v>
      </c>
      <c r="M41" s="12" t="n">
        <f aca="false">SUM(M29:M40)</f>
        <v>356010000</v>
      </c>
    </row>
    <row r="42" customFormat="false" ht="15" hidden="false" customHeight="false" outlineLevel="0" collapsed="false">
      <c r="A42" s="7" t="n">
        <v>2025</v>
      </c>
      <c r="B42" s="8" t="s">
        <v>14</v>
      </c>
      <c r="C42" s="7" t="n">
        <v>1</v>
      </c>
      <c r="D42" s="9" t="n">
        <v>8580000</v>
      </c>
      <c r="E42" s="9" t="n">
        <v>1930000</v>
      </c>
      <c r="F42" s="9" t="n">
        <v>7230000</v>
      </c>
      <c r="G42" s="9" t="n">
        <v>1990000</v>
      </c>
      <c r="H42" s="9" t="n">
        <v>1950000</v>
      </c>
      <c r="I42" s="9" t="n">
        <v>5900000</v>
      </c>
      <c r="J42" s="9" t="n">
        <v>1950000</v>
      </c>
      <c r="K42" s="9" t="n">
        <v>1790000</v>
      </c>
      <c r="L42" s="9" t="n">
        <v>3880000</v>
      </c>
      <c r="M42" s="6" t="n">
        <f aca="false">SUM(D42:L42)</f>
        <v>35200000</v>
      </c>
    </row>
    <row r="43" customFormat="false" ht="15" hidden="false" customHeight="false" outlineLevel="0" collapsed="false">
      <c r="A43" s="3" t="n">
        <v>2025</v>
      </c>
      <c r="B43" s="4" t="s">
        <v>15</v>
      </c>
      <c r="C43" s="3" t="n">
        <v>2</v>
      </c>
      <c r="D43" s="5" t="n">
        <v>8700000</v>
      </c>
      <c r="E43" s="5" t="n">
        <v>1970000</v>
      </c>
      <c r="F43" s="5" t="n">
        <v>7850000</v>
      </c>
      <c r="G43" s="5" t="n">
        <v>1770000</v>
      </c>
      <c r="H43" s="5" t="n">
        <v>1950000</v>
      </c>
      <c r="I43" s="5" t="n">
        <v>5540000</v>
      </c>
      <c r="J43" s="5" t="n">
        <v>1800000</v>
      </c>
      <c r="K43" s="5" t="n">
        <v>1940000</v>
      </c>
      <c r="L43" s="5" t="n">
        <v>3550000</v>
      </c>
      <c r="M43" s="6" t="n">
        <f aca="false">SUM(D43:L43)</f>
        <v>35070000</v>
      </c>
    </row>
    <row r="44" customFormat="false" ht="15" hidden="false" customHeight="false" outlineLevel="0" collapsed="false">
      <c r="A44" s="7" t="n">
        <v>2025</v>
      </c>
      <c r="B44" s="8" t="s">
        <v>16</v>
      </c>
      <c r="C44" s="7" t="n">
        <v>3</v>
      </c>
      <c r="D44" s="9" t="n">
        <v>8970000</v>
      </c>
      <c r="E44" s="9" t="n">
        <v>1850000</v>
      </c>
      <c r="F44" s="9" t="n">
        <v>7550000</v>
      </c>
      <c r="G44" s="9" t="n">
        <v>2050000</v>
      </c>
      <c r="H44" s="9" t="n">
        <v>2090000</v>
      </c>
      <c r="I44" s="9" t="n">
        <v>5620000</v>
      </c>
      <c r="J44" s="9" t="n">
        <v>1990000</v>
      </c>
      <c r="K44" s="9" t="n">
        <v>1910000</v>
      </c>
      <c r="L44" s="9" t="n">
        <v>4180000</v>
      </c>
      <c r="M44" s="6" t="n">
        <f aca="false">SUM(D44:L44)</f>
        <v>36210000</v>
      </c>
    </row>
    <row r="45" customFormat="false" ht="15" hidden="false" customHeight="false" outlineLevel="0" collapsed="false">
      <c r="A45" s="3" t="n">
        <v>2025</v>
      </c>
      <c r="B45" s="4" t="s">
        <v>17</v>
      </c>
      <c r="C45" s="3" t="n">
        <v>4</v>
      </c>
      <c r="D45" s="5" t="n">
        <v>9340000</v>
      </c>
      <c r="E45" s="5" t="n">
        <v>1990000</v>
      </c>
      <c r="F45" s="5" t="n">
        <v>6970000</v>
      </c>
      <c r="G45" s="5" t="n">
        <v>2000000</v>
      </c>
      <c r="H45" s="5" t="n">
        <v>1760000</v>
      </c>
      <c r="I45" s="5" t="n">
        <v>5980000</v>
      </c>
      <c r="J45" s="5" t="n">
        <v>1790000</v>
      </c>
      <c r="K45" s="5" t="n">
        <v>1740000</v>
      </c>
      <c r="L45" s="5" t="n">
        <v>3680000</v>
      </c>
      <c r="M45" s="6" t="n">
        <f aca="false">SUM(D45:L45)</f>
        <v>35250000</v>
      </c>
    </row>
    <row r="46" customFormat="false" ht="15" hidden="false" customHeight="false" outlineLevel="0" collapsed="false">
      <c r="A46" s="7" t="n">
        <v>2025</v>
      </c>
      <c r="B46" s="8" t="s">
        <v>18</v>
      </c>
      <c r="C46" s="7" t="n">
        <v>5</v>
      </c>
      <c r="D46" s="9" t="n">
        <v>9190000</v>
      </c>
      <c r="E46" s="9" t="n">
        <v>1720000</v>
      </c>
      <c r="F46" s="9" t="n">
        <v>7210000</v>
      </c>
      <c r="G46" s="9" t="n">
        <v>1780000</v>
      </c>
      <c r="H46" s="9" t="n">
        <v>1740000</v>
      </c>
      <c r="I46" s="9" t="n">
        <v>5380000</v>
      </c>
      <c r="J46" s="9" t="n">
        <v>1700000</v>
      </c>
      <c r="K46" s="9" t="n">
        <v>1830000</v>
      </c>
      <c r="L46" s="9" t="n">
        <v>3260000</v>
      </c>
      <c r="M46" s="6" t="n">
        <f aca="false">SUM(D46:L46)</f>
        <v>33810000</v>
      </c>
    </row>
    <row r="47" customFormat="false" ht="15" hidden="false" customHeight="false" outlineLevel="0" collapsed="false">
      <c r="A47" s="3" t="n">
        <v>2025</v>
      </c>
      <c r="B47" s="4" t="s">
        <v>19</v>
      </c>
      <c r="C47" s="3" t="n">
        <v>6</v>
      </c>
      <c r="D47" s="5" t="n">
        <v>6310000</v>
      </c>
      <c r="E47" s="5" t="n">
        <v>1190000</v>
      </c>
      <c r="F47" s="5" t="n">
        <v>4890000</v>
      </c>
      <c r="G47" s="5" t="n">
        <v>1230000</v>
      </c>
      <c r="H47" s="5" t="n">
        <v>1210000</v>
      </c>
      <c r="I47" s="5" t="n">
        <v>3470000</v>
      </c>
      <c r="J47" s="5" t="n">
        <v>1100000</v>
      </c>
      <c r="K47" s="5" t="n">
        <v>1210000</v>
      </c>
      <c r="L47" s="5" t="n">
        <v>2300000</v>
      </c>
      <c r="M47" s="6" t="n">
        <f aca="false">SUM(D47:L47)</f>
        <v>22910000</v>
      </c>
    </row>
    <row r="48" customFormat="false" ht="15" hidden="false" customHeight="false" outlineLevel="0" collapsed="false">
      <c r="A48" s="7" t="n">
        <v>2025</v>
      </c>
      <c r="B48" s="8" t="s">
        <v>20</v>
      </c>
      <c r="C48" s="7" t="n">
        <v>7</v>
      </c>
      <c r="D48" s="9" t="n">
        <v>5320000</v>
      </c>
      <c r="E48" s="9" t="n">
        <v>1160000</v>
      </c>
      <c r="F48" s="9" t="n">
        <v>4540000</v>
      </c>
      <c r="G48" s="9" t="n">
        <v>1060000</v>
      </c>
      <c r="H48" s="9" t="n">
        <v>1060000</v>
      </c>
      <c r="I48" s="9" t="n">
        <v>3240000</v>
      </c>
      <c r="J48" s="9" t="n">
        <v>1080000</v>
      </c>
      <c r="K48" s="9" t="n">
        <v>1060000</v>
      </c>
      <c r="L48" s="9" t="n">
        <v>2060000</v>
      </c>
      <c r="M48" s="6" t="n">
        <f aca="false">SUM(D48:L48)</f>
        <v>20580000</v>
      </c>
    </row>
    <row r="49" customFormat="false" ht="15" hidden="false" customHeight="false" outlineLevel="0" collapsed="false">
      <c r="A49" s="3" t="n">
        <v>2025</v>
      </c>
      <c r="B49" s="4" t="s">
        <v>21</v>
      </c>
      <c r="C49" s="3" t="n">
        <v>8</v>
      </c>
      <c r="D49" s="5" t="n">
        <v>5420000</v>
      </c>
      <c r="E49" s="5" t="n">
        <v>1170000</v>
      </c>
      <c r="F49" s="5" t="n">
        <v>4510000</v>
      </c>
      <c r="G49" s="5" t="n">
        <v>1170000</v>
      </c>
      <c r="H49" s="5" t="n">
        <v>1120000</v>
      </c>
      <c r="I49" s="5" t="n">
        <v>3190000</v>
      </c>
      <c r="J49" s="5" t="n">
        <v>1110000</v>
      </c>
      <c r="K49" s="5" t="n">
        <v>1010000</v>
      </c>
      <c r="L49" s="5" t="n">
        <v>2120000</v>
      </c>
      <c r="M49" s="6" t="n">
        <f aca="false">SUM(D49:L49)</f>
        <v>20820000</v>
      </c>
    </row>
    <row r="50" customFormat="false" ht="15" hidden="false" customHeight="false" outlineLevel="0" collapsed="false">
      <c r="A50" s="7" t="n">
        <v>2025</v>
      </c>
      <c r="B50" s="8" t="s">
        <v>22</v>
      </c>
      <c r="C50" s="7" t="n">
        <v>9</v>
      </c>
      <c r="D50" s="9" t="n">
        <v>5840000</v>
      </c>
      <c r="E50" s="9" t="n">
        <v>1200000</v>
      </c>
      <c r="F50" s="9" t="n">
        <v>4840000</v>
      </c>
      <c r="G50" s="9" t="n">
        <v>1180000</v>
      </c>
      <c r="H50" s="9" t="n">
        <v>1170000</v>
      </c>
      <c r="I50" s="9" t="n">
        <v>3380000</v>
      </c>
      <c r="J50" s="9" t="n">
        <v>1180000</v>
      </c>
      <c r="K50" s="9" t="n">
        <v>1260000</v>
      </c>
      <c r="L50" s="9" t="n">
        <v>2480000</v>
      </c>
      <c r="M50" s="6" t="n">
        <f aca="false">SUM(D50:L50)</f>
        <v>22530000</v>
      </c>
    </row>
    <row r="51" customFormat="false" ht="15" hidden="false" customHeight="false" outlineLevel="0" collapsed="false">
      <c r="A51" s="3" t="n">
        <v>2025</v>
      </c>
      <c r="B51" s="4" t="s">
        <v>23</v>
      </c>
      <c r="C51" s="3" t="n">
        <v>10</v>
      </c>
      <c r="D51" s="5" t="n">
        <v>9190000</v>
      </c>
      <c r="E51" s="5" t="n">
        <v>1810000</v>
      </c>
      <c r="F51" s="5" t="n">
        <v>7780000</v>
      </c>
      <c r="G51" s="5" t="n">
        <v>1980000</v>
      </c>
      <c r="H51" s="5" t="n">
        <v>1890000</v>
      </c>
      <c r="I51" s="5" t="n">
        <v>6120000</v>
      </c>
      <c r="J51" s="5" t="n">
        <v>2020000</v>
      </c>
      <c r="K51" s="5" t="n">
        <v>2000000</v>
      </c>
      <c r="L51" s="5" t="n">
        <v>3710000</v>
      </c>
      <c r="M51" s="6" t="n">
        <f aca="false">SUM(D51:L51)</f>
        <v>36500000</v>
      </c>
    </row>
    <row r="52" customFormat="false" ht="15" hidden="false" customHeight="false" outlineLevel="0" collapsed="false">
      <c r="A52" s="7" t="n">
        <v>2025</v>
      </c>
      <c r="B52" s="8" t="s">
        <v>24</v>
      </c>
      <c r="C52" s="7" t="n">
        <v>11</v>
      </c>
      <c r="D52" s="9" t="n">
        <v>9240000</v>
      </c>
      <c r="E52" s="9" t="n">
        <v>1790000</v>
      </c>
      <c r="F52" s="9" t="n">
        <v>7450000</v>
      </c>
      <c r="G52" s="9" t="n">
        <v>1930000</v>
      </c>
      <c r="H52" s="9" t="n">
        <v>2050000</v>
      </c>
      <c r="I52" s="9" t="n">
        <v>5430000</v>
      </c>
      <c r="J52" s="9" t="n">
        <v>1910000</v>
      </c>
      <c r="K52" s="9" t="n">
        <v>1980000</v>
      </c>
      <c r="L52" s="9" t="n">
        <v>3690000</v>
      </c>
      <c r="M52" s="6" t="n">
        <f aca="false">SUM(D52:L52)</f>
        <v>35470000</v>
      </c>
    </row>
    <row r="53" customFormat="false" ht="15" hidden="false" customHeight="false" outlineLevel="0" collapsed="false">
      <c r="A53" s="3" t="n">
        <v>2025</v>
      </c>
      <c r="B53" s="4" t="s">
        <v>25</v>
      </c>
      <c r="C53" s="3" t="n">
        <v>12</v>
      </c>
      <c r="D53" s="5" t="n">
        <v>9580000</v>
      </c>
      <c r="E53" s="5" t="n">
        <v>1860000</v>
      </c>
      <c r="F53" s="5" t="n">
        <v>7120000</v>
      </c>
      <c r="G53" s="5" t="n">
        <v>1900000</v>
      </c>
      <c r="H53" s="5" t="n">
        <v>1710000</v>
      </c>
      <c r="I53" s="5" t="n">
        <v>5790000</v>
      </c>
      <c r="J53" s="5" t="n">
        <v>1940000</v>
      </c>
      <c r="K53" s="5" t="n">
        <v>1740000</v>
      </c>
      <c r="L53" s="5" t="n">
        <v>3670000</v>
      </c>
      <c r="M53" s="6" t="n">
        <f aca="false">SUM(D53:L53)</f>
        <v>35310000</v>
      </c>
    </row>
    <row r="54" customFormat="false" ht="39.55" hidden="false" customHeight="false" outlineLevel="0" collapsed="false">
      <c r="A54" s="10" t="n">
        <v>2025</v>
      </c>
      <c r="B54" s="10" t="s">
        <v>26</v>
      </c>
      <c r="C54" s="10"/>
      <c r="D54" s="11" t="n">
        <f aca="false">SUM(D42:D53)</f>
        <v>95680000</v>
      </c>
      <c r="E54" s="11" t="n">
        <f aca="false">SUM(E42:E53)</f>
        <v>19640000</v>
      </c>
      <c r="F54" s="11" t="n">
        <f aca="false">SUM(F42:F53)</f>
        <v>77940000</v>
      </c>
      <c r="G54" s="11" t="n">
        <f aca="false">SUM(G42:G53)</f>
        <v>20040000</v>
      </c>
      <c r="H54" s="11" t="n">
        <f aca="false">SUM(H42:H53)</f>
        <v>19700000</v>
      </c>
      <c r="I54" s="11" t="n">
        <f aca="false">SUM(I42:I53)</f>
        <v>59040000</v>
      </c>
      <c r="J54" s="11" t="n">
        <f aca="false">SUM(J42:J53)</f>
        <v>19570000</v>
      </c>
      <c r="K54" s="11" t="n">
        <f aca="false">SUM(K42:K53)</f>
        <v>19470000</v>
      </c>
      <c r="L54" s="11" t="n">
        <f aca="false">SUM(L42:L53)</f>
        <v>38580000</v>
      </c>
      <c r="M54" s="12" t="n">
        <f aca="false">SUM(M42:M53)</f>
        <v>369660000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5" hidden="false" customHeight="true" outlineLevel="0" collapsed="false">
      <c r="A2" s="2" t="s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</row>
    <row r="3" customFormat="false" ht="15" hidden="false" customHeight="false" outlineLevel="0" collapsed="false">
      <c r="A3" s="13" t="n">
        <v>2022</v>
      </c>
      <c r="B3" s="4" t="s">
        <v>4</v>
      </c>
      <c r="C3" s="14" t="s">
        <v>37</v>
      </c>
      <c r="D3" s="5" t="n">
        <v>87500000</v>
      </c>
      <c r="E3" s="5" t="n">
        <f aca="false">D3*0.675</f>
        <v>59062500</v>
      </c>
      <c r="F3" s="15" t="n">
        <v>0.675</v>
      </c>
      <c r="G3" s="5" t="n">
        <f aca="false">D3*0.18</f>
        <v>15750000</v>
      </c>
      <c r="H3" s="15" t="n">
        <v>0.18</v>
      </c>
      <c r="I3" s="5" t="n">
        <v>0</v>
      </c>
      <c r="J3" s="3" t="s">
        <v>38</v>
      </c>
    </row>
    <row r="4" customFormat="false" ht="15" hidden="false" customHeight="false" outlineLevel="0" collapsed="false">
      <c r="A4" s="16" t="n">
        <v>2022</v>
      </c>
      <c r="B4" s="8" t="s">
        <v>5</v>
      </c>
      <c r="C4" s="14" t="s">
        <v>37</v>
      </c>
      <c r="D4" s="9" t="n">
        <v>17500000</v>
      </c>
      <c r="E4" s="9" t="n">
        <f aca="false">D4*0.675</f>
        <v>11812500</v>
      </c>
      <c r="F4" s="17" t="n">
        <v>0.675</v>
      </c>
      <c r="G4" s="9" t="n">
        <f aca="false">D4*0.18</f>
        <v>3150000</v>
      </c>
      <c r="H4" s="17" t="n">
        <v>0.18</v>
      </c>
      <c r="I4" s="9" t="n">
        <v>0</v>
      </c>
      <c r="J4" s="7" t="s">
        <v>38</v>
      </c>
    </row>
    <row r="5" customFormat="false" ht="15" hidden="false" customHeight="false" outlineLevel="0" collapsed="false">
      <c r="A5" s="13" t="n">
        <v>2022</v>
      </c>
      <c r="B5" s="4" t="s">
        <v>6</v>
      </c>
      <c r="C5" s="14" t="s">
        <v>37</v>
      </c>
      <c r="D5" s="5" t="n">
        <v>70000000</v>
      </c>
      <c r="E5" s="5" t="n">
        <f aca="false">D5*0.675</f>
        <v>47250000</v>
      </c>
      <c r="F5" s="15" t="n">
        <v>0.675</v>
      </c>
      <c r="G5" s="5" t="n">
        <f aca="false">D5*0.18</f>
        <v>12600000</v>
      </c>
      <c r="H5" s="15" t="n">
        <v>0.18</v>
      </c>
      <c r="I5" s="5" t="n">
        <v>0</v>
      </c>
      <c r="J5" s="3" t="s">
        <v>38</v>
      </c>
    </row>
    <row r="6" customFormat="false" ht="15" hidden="false" customHeight="false" outlineLevel="0" collapsed="false">
      <c r="A6" s="16" t="n">
        <v>2022</v>
      </c>
      <c r="B6" s="8" t="s">
        <v>7</v>
      </c>
      <c r="C6" s="14" t="s">
        <v>37</v>
      </c>
      <c r="D6" s="9" t="n">
        <v>17500000</v>
      </c>
      <c r="E6" s="9" t="n">
        <f aca="false">D6*0.675</f>
        <v>11812500</v>
      </c>
      <c r="F6" s="17" t="n">
        <v>0.675</v>
      </c>
      <c r="G6" s="9" t="n">
        <f aca="false">D6*0.18</f>
        <v>3150000</v>
      </c>
      <c r="H6" s="17" t="n">
        <v>0.18</v>
      </c>
      <c r="I6" s="9" t="n">
        <v>0</v>
      </c>
      <c r="J6" s="7" t="s">
        <v>38</v>
      </c>
    </row>
    <row r="7" customFormat="false" ht="15" hidden="false" customHeight="false" outlineLevel="0" collapsed="false">
      <c r="A7" s="13" t="n">
        <v>2022</v>
      </c>
      <c r="B7" s="4" t="s">
        <v>8</v>
      </c>
      <c r="C7" s="14" t="s">
        <v>37</v>
      </c>
      <c r="D7" s="5" t="n">
        <v>17500000</v>
      </c>
      <c r="E7" s="5" t="n">
        <f aca="false">D7*0.675</f>
        <v>11812500</v>
      </c>
      <c r="F7" s="15" t="n">
        <v>0.675</v>
      </c>
      <c r="G7" s="5" t="n">
        <f aca="false">D7*0.18</f>
        <v>3150000</v>
      </c>
      <c r="H7" s="15" t="n">
        <v>0.18</v>
      </c>
      <c r="I7" s="5" t="n">
        <v>0</v>
      </c>
      <c r="J7" s="3" t="s">
        <v>38</v>
      </c>
    </row>
    <row r="8" customFormat="false" ht="15" hidden="false" customHeight="false" outlineLevel="0" collapsed="false">
      <c r="A8" s="16" t="n">
        <v>2022</v>
      </c>
      <c r="B8" s="8" t="s">
        <v>9</v>
      </c>
      <c r="C8" s="14" t="s">
        <v>37</v>
      </c>
      <c r="D8" s="9" t="n">
        <v>52500000</v>
      </c>
      <c r="E8" s="9" t="n">
        <f aca="false">D8*0.675</f>
        <v>35437500</v>
      </c>
      <c r="F8" s="17" t="n">
        <v>0.675</v>
      </c>
      <c r="G8" s="9" t="n">
        <f aca="false">D8*0.18</f>
        <v>9450000</v>
      </c>
      <c r="H8" s="17" t="n">
        <v>0.18</v>
      </c>
      <c r="I8" s="9" t="n">
        <v>0</v>
      </c>
      <c r="J8" s="7" t="s">
        <v>38</v>
      </c>
    </row>
    <row r="9" customFormat="false" ht="15" hidden="false" customHeight="false" outlineLevel="0" collapsed="false">
      <c r="A9" s="13" t="n">
        <v>2022</v>
      </c>
      <c r="B9" s="4" t="s">
        <v>10</v>
      </c>
      <c r="C9" s="14" t="s">
        <v>37</v>
      </c>
      <c r="D9" s="5" t="n">
        <v>17500000</v>
      </c>
      <c r="E9" s="5" t="n">
        <f aca="false">D9*0.675</f>
        <v>11812500</v>
      </c>
      <c r="F9" s="15" t="n">
        <v>0.675</v>
      </c>
      <c r="G9" s="5" t="n">
        <f aca="false">D9*0.18</f>
        <v>3150000</v>
      </c>
      <c r="H9" s="15" t="n">
        <v>0.18</v>
      </c>
      <c r="I9" s="5" t="n">
        <v>0</v>
      </c>
      <c r="J9" s="3" t="s">
        <v>38</v>
      </c>
    </row>
    <row r="10" customFormat="false" ht="15" hidden="false" customHeight="false" outlineLevel="0" collapsed="false">
      <c r="A10" s="16" t="n">
        <v>2022</v>
      </c>
      <c r="B10" s="8" t="s">
        <v>11</v>
      </c>
      <c r="C10" s="18" t="s">
        <v>39</v>
      </c>
      <c r="D10" s="9" t="n">
        <v>17500000</v>
      </c>
      <c r="E10" s="9" t="n">
        <v>0</v>
      </c>
      <c r="F10" s="7" t="s">
        <v>38</v>
      </c>
      <c r="G10" s="9" t="n">
        <v>0</v>
      </c>
      <c r="H10" s="7" t="s">
        <v>38</v>
      </c>
      <c r="I10" s="9" t="n">
        <f aca="false">D10*0.075</f>
        <v>1312500</v>
      </c>
      <c r="J10" s="17" t="n">
        <v>0.075</v>
      </c>
    </row>
    <row r="11" customFormat="false" ht="15" hidden="false" customHeight="false" outlineLevel="0" collapsed="false">
      <c r="A11" s="13" t="n">
        <v>2022</v>
      </c>
      <c r="B11" s="4" t="s">
        <v>12</v>
      </c>
      <c r="C11" s="18" t="s">
        <v>39</v>
      </c>
      <c r="D11" s="5" t="n">
        <v>35000000</v>
      </c>
      <c r="E11" s="5" t="n">
        <v>0</v>
      </c>
      <c r="F11" s="3" t="s">
        <v>38</v>
      </c>
      <c r="G11" s="5" t="n">
        <v>0</v>
      </c>
      <c r="H11" s="3" t="s">
        <v>38</v>
      </c>
      <c r="I11" s="5" t="n">
        <f aca="false">D11*0.075</f>
        <v>2625000</v>
      </c>
      <c r="J11" s="15" t="n">
        <v>0.075</v>
      </c>
    </row>
    <row r="12" customFormat="false" ht="15" hidden="false" customHeight="false" outlineLevel="0" collapsed="false">
      <c r="A12" s="10" t="n">
        <v>2022</v>
      </c>
      <c r="B12" s="10" t="s">
        <v>40</v>
      </c>
      <c r="C12" s="10"/>
      <c r="D12" s="11" t="n">
        <f aca="false">SUM(D3:D11)</f>
        <v>332500000</v>
      </c>
      <c r="E12" s="11" t="n">
        <f aca="false">SUM(E3:E11)</f>
        <v>189000000</v>
      </c>
      <c r="F12" s="2"/>
      <c r="G12" s="11" t="n">
        <f aca="false">SUM(G3:G11)</f>
        <v>50400000</v>
      </c>
      <c r="H12" s="2"/>
      <c r="I12" s="11" t="n">
        <f aca="false">SUM(I3:I11)</f>
        <v>3937500</v>
      </c>
      <c r="J12" s="2"/>
    </row>
    <row r="13" customFormat="false" ht="15" hidden="false" customHeight="false" outlineLevel="0" collapsed="false">
      <c r="A13" s="13" t="n">
        <v>2023</v>
      </c>
      <c r="B13" s="4" t="s">
        <v>4</v>
      </c>
      <c r="C13" s="14" t="s">
        <v>37</v>
      </c>
      <c r="D13" s="5" t="n">
        <v>91880000</v>
      </c>
      <c r="E13" s="5" t="n">
        <f aca="false">D13*0.675</f>
        <v>62019000</v>
      </c>
      <c r="F13" s="15" t="n">
        <v>0.675</v>
      </c>
      <c r="G13" s="5" t="n">
        <f aca="false">D13*0.18</f>
        <v>16538400</v>
      </c>
      <c r="H13" s="15" t="n">
        <v>0.18</v>
      </c>
      <c r="I13" s="5" t="n">
        <v>0</v>
      </c>
      <c r="J13" s="3" t="s">
        <v>38</v>
      </c>
    </row>
    <row r="14" customFormat="false" ht="15" hidden="false" customHeight="false" outlineLevel="0" collapsed="false">
      <c r="A14" s="16" t="n">
        <v>2023</v>
      </c>
      <c r="B14" s="8" t="s">
        <v>5</v>
      </c>
      <c r="C14" s="14" t="s">
        <v>37</v>
      </c>
      <c r="D14" s="9" t="n">
        <v>18380000</v>
      </c>
      <c r="E14" s="9" t="n">
        <f aca="false">D14*0.675</f>
        <v>12406500</v>
      </c>
      <c r="F14" s="17" t="n">
        <v>0.675</v>
      </c>
      <c r="G14" s="9" t="n">
        <f aca="false">D14*0.18</f>
        <v>3308400</v>
      </c>
      <c r="H14" s="17" t="n">
        <v>0.18</v>
      </c>
      <c r="I14" s="9" t="n">
        <v>0</v>
      </c>
      <c r="J14" s="7" t="s">
        <v>38</v>
      </c>
    </row>
    <row r="15" customFormat="false" ht="15" hidden="false" customHeight="false" outlineLevel="0" collapsed="false">
      <c r="A15" s="13" t="n">
        <v>2023</v>
      </c>
      <c r="B15" s="4" t="s">
        <v>6</v>
      </c>
      <c r="C15" s="14" t="s">
        <v>37</v>
      </c>
      <c r="D15" s="5" t="n">
        <v>73500000</v>
      </c>
      <c r="E15" s="5" t="n">
        <f aca="false">D15*0.675</f>
        <v>49612500</v>
      </c>
      <c r="F15" s="15" t="n">
        <v>0.675</v>
      </c>
      <c r="G15" s="5" t="n">
        <f aca="false">D15*0.18</f>
        <v>13230000</v>
      </c>
      <c r="H15" s="15" t="n">
        <v>0.18</v>
      </c>
      <c r="I15" s="5" t="n">
        <v>0</v>
      </c>
      <c r="J15" s="3" t="s">
        <v>38</v>
      </c>
    </row>
    <row r="16" customFormat="false" ht="15" hidden="false" customHeight="false" outlineLevel="0" collapsed="false">
      <c r="A16" s="16" t="n">
        <v>2023</v>
      </c>
      <c r="B16" s="8" t="s">
        <v>7</v>
      </c>
      <c r="C16" s="14" t="s">
        <v>37</v>
      </c>
      <c r="D16" s="9" t="n">
        <v>18380000</v>
      </c>
      <c r="E16" s="9" t="n">
        <f aca="false">D16*0.675</f>
        <v>12406500</v>
      </c>
      <c r="F16" s="17" t="n">
        <v>0.675</v>
      </c>
      <c r="G16" s="9" t="n">
        <f aca="false">D16*0.18</f>
        <v>3308400</v>
      </c>
      <c r="H16" s="17" t="n">
        <v>0.18</v>
      </c>
      <c r="I16" s="9" t="n">
        <v>0</v>
      </c>
      <c r="J16" s="7" t="s">
        <v>38</v>
      </c>
    </row>
    <row r="17" customFormat="false" ht="15" hidden="false" customHeight="false" outlineLevel="0" collapsed="false">
      <c r="A17" s="13" t="n">
        <v>2023</v>
      </c>
      <c r="B17" s="4" t="s">
        <v>8</v>
      </c>
      <c r="C17" s="14" t="s">
        <v>37</v>
      </c>
      <c r="D17" s="5" t="n">
        <v>18380000</v>
      </c>
      <c r="E17" s="5" t="n">
        <f aca="false">D17*0.675</f>
        <v>12406500</v>
      </c>
      <c r="F17" s="15" t="n">
        <v>0.675</v>
      </c>
      <c r="G17" s="5" t="n">
        <f aca="false">D17*0.18</f>
        <v>3308400</v>
      </c>
      <c r="H17" s="15" t="n">
        <v>0.18</v>
      </c>
      <c r="I17" s="5" t="n">
        <v>0</v>
      </c>
      <c r="J17" s="3" t="s">
        <v>38</v>
      </c>
    </row>
    <row r="18" customFormat="false" ht="15" hidden="false" customHeight="false" outlineLevel="0" collapsed="false">
      <c r="A18" s="16" t="n">
        <v>2023</v>
      </c>
      <c r="B18" s="8" t="s">
        <v>9</v>
      </c>
      <c r="C18" s="14" t="s">
        <v>37</v>
      </c>
      <c r="D18" s="9" t="n">
        <v>55120000</v>
      </c>
      <c r="E18" s="9" t="n">
        <f aca="false">D18*0.675</f>
        <v>37206000</v>
      </c>
      <c r="F18" s="17" t="n">
        <v>0.675</v>
      </c>
      <c r="G18" s="9" t="n">
        <f aca="false">D18*0.18</f>
        <v>9921600</v>
      </c>
      <c r="H18" s="17" t="n">
        <v>0.18</v>
      </c>
      <c r="I18" s="9" t="n">
        <v>0</v>
      </c>
      <c r="J18" s="7" t="s">
        <v>38</v>
      </c>
    </row>
    <row r="19" customFormat="false" ht="15" hidden="false" customHeight="false" outlineLevel="0" collapsed="false">
      <c r="A19" s="13" t="n">
        <v>2023</v>
      </c>
      <c r="B19" s="4" t="s">
        <v>10</v>
      </c>
      <c r="C19" s="14" t="s">
        <v>37</v>
      </c>
      <c r="D19" s="5" t="n">
        <v>18380000</v>
      </c>
      <c r="E19" s="5" t="n">
        <f aca="false">D19*0.675</f>
        <v>12406500</v>
      </c>
      <c r="F19" s="15" t="n">
        <v>0.675</v>
      </c>
      <c r="G19" s="5" t="n">
        <f aca="false">D19*0.18</f>
        <v>3308400</v>
      </c>
      <c r="H19" s="15" t="n">
        <v>0.18</v>
      </c>
      <c r="I19" s="5" t="n">
        <v>0</v>
      </c>
      <c r="J19" s="3" t="s">
        <v>38</v>
      </c>
    </row>
    <row r="20" customFormat="false" ht="15" hidden="false" customHeight="false" outlineLevel="0" collapsed="false">
      <c r="A20" s="16" t="n">
        <v>2023</v>
      </c>
      <c r="B20" s="8" t="s">
        <v>11</v>
      </c>
      <c r="C20" s="18" t="s">
        <v>39</v>
      </c>
      <c r="D20" s="9" t="n">
        <v>18380000</v>
      </c>
      <c r="E20" s="9" t="n">
        <v>0</v>
      </c>
      <c r="F20" s="7" t="s">
        <v>38</v>
      </c>
      <c r="G20" s="9" t="n">
        <v>0</v>
      </c>
      <c r="H20" s="7" t="s">
        <v>38</v>
      </c>
      <c r="I20" s="9" t="n">
        <f aca="false">D20*0.075</f>
        <v>1378500</v>
      </c>
      <c r="J20" s="17" t="n">
        <v>0.075</v>
      </c>
    </row>
    <row r="21" customFormat="false" ht="15" hidden="false" customHeight="false" outlineLevel="0" collapsed="false">
      <c r="A21" s="13" t="n">
        <v>2023</v>
      </c>
      <c r="B21" s="4" t="s">
        <v>12</v>
      </c>
      <c r="C21" s="18" t="s">
        <v>39</v>
      </c>
      <c r="D21" s="5" t="n">
        <v>36750000</v>
      </c>
      <c r="E21" s="5" t="n">
        <v>0</v>
      </c>
      <c r="F21" s="3" t="s">
        <v>38</v>
      </c>
      <c r="G21" s="5" t="n">
        <v>0</v>
      </c>
      <c r="H21" s="3" t="s">
        <v>38</v>
      </c>
      <c r="I21" s="5" t="n">
        <f aca="false">D21*0.075</f>
        <v>2756250</v>
      </c>
      <c r="J21" s="15" t="n">
        <v>0.075</v>
      </c>
    </row>
    <row r="22" customFormat="false" ht="15" hidden="false" customHeight="false" outlineLevel="0" collapsed="false">
      <c r="A22" s="10" t="n">
        <v>2023</v>
      </c>
      <c r="B22" s="10" t="s">
        <v>40</v>
      </c>
      <c r="C22" s="10"/>
      <c r="D22" s="11" t="n">
        <f aca="false">SUM(D12:D20)</f>
        <v>644900000</v>
      </c>
      <c r="E22" s="11" t="n">
        <f aca="false">SUM(E12:E20)</f>
        <v>387463500</v>
      </c>
      <c r="F22" s="2"/>
      <c r="G22" s="11" t="n">
        <f aca="false">SUM(G12:G20)</f>
        <v>103323600</v>
      </c>
      <c r="H22" s="2"/>
      <c r="I22" s="11" t="n">
        <f aca="false">SUM(I12:I20)</f>
        <v>5316000</v>
      </c>
      <c r="J22" s="2"/>
    </row>
    <row r="23" customFormat="false" ht="15" hidden="false" customHeight="false" outlineLevel="0" collapsed="false">
      <c r="A23" s="13" t="n">
        <v>2024</v>
      </c>
      <c r="B23" s="4" t="s">
        <v>4</v>
      </c>
      <c r="C23" s="14" t="s">
        <v>37</v>
      </c>
      <c r="D23" s="5" t="n">
        <v>96470000</v>
      </c>
      <c r="E23" s="5" t="n">
        <f aca="false">D23*0.675</f>
        <v>65117250</v>
      </c>
      <c r="F23" s="15" t="n">
        <v>0.675</v>
      </c>
      <c r="G23" s="5" t="n">
        <f aca="false">D23*0.18</f>
        <v>17364600</v>
      </c>
      <c r="H23" s="15" t="n">
        <v>0.18</v>
      </c>
      <c r="I23" s="5" t="n">
        <v>0</v>
      </c>
      <c r="J23" s="3" t="s">
        <v>38</v>
      </c>
    </row>
    <row r="24" customFormat="false" ht="15" hidden="false" customHeight="false" outlineLevel="0" collapsed="false">
      <c r="A24" s="16" t="n">
        <v>2024</v>
      </c>
      <c r="B24" s="8" t="s">
        <v>5</v>
      </c>
      <c r="C24" s="14" t="s">
        <v>37</v>
      </c>
      <c r="D24" s="9" t="n">
        <v>19290000</v>
      </c>
      <c r="E24" s="9" t="n">
        <f aca="false">D24*0.675</f>
        <v>13020750</v>
      </c>
      <c r="F24" s="17" t="n">
        <v>0.675</v>
      </c>
      <c r="G24" s="9" t="n">
        <f aca="false">D24*0.18</f>
        <v>3472200</v>
      </c>
      <c r="H24" s="17" t="n">
        <v>0.18</v>
      </c>
      <c r="I24" s="9" t="n">
        <v>0</v>
      </c>
      <c r="J24" s="7" t="s">
        <v>38</v>
      </c>
    </row>
    <row r="25" customFormat="false" ht="15" hidden="false" customHeight="false" outlineLevel="0" collapsed="false">
      <c r="A25" s="13" t="n">
        <v>2024</v>
      </c>
      <c r="B25" s="4" t="s">
        <v>6</v>
      </c>
      <c r="C25" s="14" t="s">
        <v>37</v>
      </c>
      <c r="D25" s="5" t="n">
        <v>77180000</v>
      </c>
      <c r="E25" s="5" t="n">
        <f aca="false">D25*0.675</f>
        <v>52096500</v>
      </c>
      <c r="F25" s="15" t="n">
        <v>0.675</v>
      </c>
      <c r="G25" s="5" t="n">
        <f aca="false">D25*0.18</f>
        <v>13892400</v>
      </c>
      <c r="H25" s="15" t="n">
        <v>0.18</v>
      </c>
      <c r="I25" s="5" t="n">
        <v>0</v>
      </c>
      <c r="J25" s="3" t="s">
        <v>38</v>
      </c>
    </row>
    <row r="26" customFormat="false" ht="15" hidden="false" customHeight="false" outlineLevel="0" collapsed="false">
      <c r="A26" s="16" t="n">
        <v>2024</v>
      </c>
      <c r="B26" s="8" t="s">
        <v>7</v>
      </c>
      <c r="C26" s="14" t="s">
        <v>37</v>
      </c>
      <c r="D26" s="9" t="n">
        <v>19290000</v>
      </c>
      <c r="E26" s="9" t="n">
        <f aca="false">D26*0.675</f>
        <v>13020750</v>
      </c>
      <c r="F26" s="17" t="n">
        <v>0.675</v>
      </c>
      <c r="G26" s="9" t="n">
        <f aca="false">D26*0.18</f>
        <v>3472200</v>
      </c>
      <c r="H26" s="17" t="n">
        <v>0.18</v>
      </c>
      <c r="I26" s="9" t="n">
        <v>0</v>
      </c>
      <c r="J26" s="7" t="s">
        <v>38</v>
      </c>
    </row>
    <row r="27" customFormat="false" ht="15" hidden="false" customHeight="false" outlineLevel="0" collapsed="false">
      <c r="A27" s="13" t="n">
        <v>2024</v>
      </c>
      <c r="B27" s="4" t="s">
        <v>8</v>
      </c>
      <c r="C27" s="14" t="s">
        <v>37</v>
      </c>
      <c r="D27" s="5" t="n">
        <v>19290000</v>
      </c>
      <c r="E27" s="5" t="n">
        <f aca="false">D27*0.675</f>
        <v>13020750</v>
      </c>
      <c r="F27" s="15" t="n">
        <v>0.675</v>
      </c>
      <c r="G27" s="5" t="n">
        <f aca="false">D27*0.18</f>
        <v>3472200</v>
      </c>
      <c r="H27" s="15" t="n">
        <v>0.18</v>
      </c>
      <c r="I27" s="5" t="n">
        <v>0</v>
      </c>
      <c r="J27" s="3" t="s">
        <v>38</v>
      </c>
    </row>
    <row r="28" customFormat="false" ht="15" hidden="false" customHeight="false" outlineLevel="0" collapsed="false">
      <c r="A28" s="16" t="n">
        <v>2024</v>
      </c>
      <c r="B28" s="8" t="s">
        <v>9</v>
      </c>
      <c r="C28" s="14" t="s">
        <v>37</v>
      </c>
      <c r="D28" s="9" t="n">
        <v>57880000</v>
      </c>
      <c r="E28" s="9" t="n">
        <f aca="false">D28*0.675</f>
        <v>39069000</v>
      </c>
      <c r="F28" s="17" t="n">
        <v>0.675</v>
      </c>
      <c r="G28" s="9" t="n">
        <f aca="false">D28*0.18</f>
        <v>10418400</v>
      </c>
      <c r="H28" s="17" t="n">
        <v>0.18</v>
      </c>
      <c r="I28" s="9" t="n">
        <v>0</v>
      </c>
      <c r="J28" s="7" t="s">
        <v>38</v>
      </c>
    </row>
    <row r="29" customFormat="false" ht="15" hidden="false" customHeight="false" outlineLevel="0" collapsed="false">
      <c r="A29" s="13" t="n">
        <v>2024</v>
      </c>
      <c r="B29" s="4" t="s">
        <v>10</v>
      </c>
      <c r="C29" s="14" t="s">
        <v>37</v>
      </c>
      <c r="D29" s="5" t="n">
        <v>19290000</v>
      </c>
      <c r="E29" s="5" t="n">
        <f aca="false">D29*0.675</f>
        <v>13020750</v>
      </c>
      <c r="F29" s="15" t="n">
        <v>0.675</v>
      </c>
      <c r="G29" s="5" t="n">
        <f aca="false">D29*0.18</f>
        <v>3472200</v>
      </c>
      <c r="H29" s="15" t="n">
        <v>0.18</v>
      </c>
      <c r="I29" s="5" t="n">
        <v>0</v>
      </c>
      <c r="J29" s="3" t="s">
        <v>38</v>
      </c>
    </row>
    <row r="30" customFormat="false" ht="15" hidden="false" customHeight="false" outlineLevel="0" collapsed="false">
      <c r="A30" s="16" t="n">
        <v>2024</v>
      </c>
      <c r="B30" s="8" t="s">
        <v>11</v>
      </c>
      <c r="C30" s="18" t="s">
        <v>39</v>
      </c>
      <c r="D30" s="9" t="n">
        <v>19290000</v>
      </c>
      <c r="E30" s="9" t="n">
        <v>0</v>
      </c>
      <c r="F30" s="7" t="s">
        <v>38</v>
      </c>
      <c r="G30" s="9" t="n">
        <v>0</v>
      </c>
      <c r="H30" s="7" t="s">
        <v>38</v>
      </c>
      <c r="I30" s="9" t="n">
        <f aca="false">D30*0.075</f>
        <v>1446750</v>
      </c>
      <c r="J30" s="17" t="n">
        <v>0.075</v>
      </c>
    </row>
    <row r="31" customFormat="false" ht="15" hidden="false" customHeight="false" outlineLevel="0" collapsed="false">
      <c r="A31" s="13" t="n">
        <v>2024</v>
      </c>
      <c r="B31" s="4" t="s">
        <v>12</v>
      </c>
      <c r="C31" s="18" t="s">
        <v>39</v>
      </c>
      <c r="D31" s="5" t="n">
        <v>38590000</v>
      </c>
      <c r="E31" s="5" t="n">
        <v>0</v>
      </c>
      <c r="F31" s="3" t="s">
        <v>38</v>
      </c>
      <c r="G31" s="5" t="n">
        <v>0</v>
      </c>
      <c r="H31" s="3" t="s">
        <v>38</v>
      </c>
      <c r="I31" s="5" t="n">
        <f aca="false">D31*0.075</f>
        <v>2894250</v>
      </c>
      <c r="J31" s="15" t="n">
        <v>0.075</v>
      </c>
    </row>
    <row r="32" customFormat="false" ht="15" hidden="false" customHeight="false" outlineLevel="0" collapsed="false">
      <c r="A32" s="10" t="n">
        <v>2024</v>
      </c>
      <c r="B32" s="10" t="s">
        <v>40</v>
      </c>
      <c r="C32" s="10"/>
      <c r="D32" s="11" t="n">
        <f aca="false">SUM(D21:D29)</f>
        <v>990340000</v>
      </c>
      <c r="E32" s="11" t="n">
        <f aca="false">SUM(E21:E29)</f>
        <v>595829250</v>
      </c>
      <c r="F32" s="2"/>
      <c r="G32" s="11" t="n">
        <f aca="false">SUM(G21:G29)</f>
        <v>158887800</v>
      </c>
      <c r="H32" s="2"/>
      <c r="I32" s="11" t="n">
        <f aca="false">SUM(I21:I29)</f>
        <v>8072250</v>
      </c>
      <c r="J32" s="2"/>
    </row>
    <row r="33" customFormat="false" ht="15" hidden="false" customHeight="false" outlineLevel="0" collapsed="false">
      <c r="A33" s="13" t="n">
        <v>2025</v>
      </c>
      <c r="B33" s="4" t="s">
        <v>4</v>
      </c>
      <c r="C33" s="14" t="s">
        <v>37</v>
      </c>
      <c r="D33" s="5" t="n">
        <v>101290000</v>
      </c>
      <c r="E33" s="5" t="n">
        <f aca="false">D33*0.675</f>
        <v>68370750</v>
      </c>
      <c r="F33" s="15" t="n">
        <v>0.675</v>
      </c>
      <c r="G33" s="5" t="n">
        <f aca="false">D33*0.18</f>
        <v>18232200</v>
      </c>
      <c r="H33" s="15" t="n">
        <v>0.18</v>
      </c>
      <c r="I33" s="5" t="n">
        <v>0</v>
      </c>
      <c r="J33" s="3" t="s">
        <v>38</v>
      </c>
    </row>
    <row r="34" customFormat="false" ht="15" hidden="false" customHeight="false" outlineLevel="0" collapsed="false">
      <c r="A34" s="16" t="n">
        <v>2025</v>
      </c>
      <c r="B34" s="8" t="s">
        <v>5</v>
      </c>
      <c r="C34" s="14" t="s">
        <v>37</v>
      </c>
      <c r="D34" s="9" t="n">
        <v>20260000</v>
      </c>
      <c r="E34" s="9" t="n">
        <f aca="false">D34*0.675</f>
        <v>13675500</v>
      </c>
      <c r="F34" s="17" t="n">
        <v>0.675</v>
      </c>
      <c r="G34" s="9" t="n">
        <f aca="false">D34*0.18</f>
        <v>3646800</v>
      </c>
      <c r="H34" s="17" t="n">
        <v>0.18</v>
      </c>
      <c r="I34" s="9" t="n">
        <v>0</v>
      </c>
      <c r="J34" s="7" t="s">
        <v>38</v>
      </c>
    </row>
    <row r="35" customFormat="false" ht="15" hidden="false" customHeight="false" outlineLevel="0" collapsed="false">
      <c r="A35" s="13" t="n">
        <v>2025</v>
      </c>
      <c r="B35" s="4" t="s">
        <v>6</v>
      </c>
      <c r="C35" s="14" t="s">
        <v>37</v>
      </c>
      <c r="D35" s="5" t="n">
        <v>81030000</v>
      </c>
      <c r="E35" s="5" t="n">
        <f aca="false">D35*0.675</f>
        <v>54695250</v>
      </c>
      <c r="F35" s="15" t="n">
        <v>0.675</v>
      </c>
      <c r="G35" s="5" t="n">
        <f aca="false">D35*0.18</f>
        <v>14585400</v>
      </c>
      <c r="H35" s="15" t="n">
        <v>0.18</v>
      </c>
      <c r="I35" s="5" t="n">
        <v>0</v>
      </c>
      <c r="J35" s="3" t="s">
        <v>38</v>
      </c>
    </row>
    <row r="36" customFormat="false" ht="15" hidden="false" customHeight="false" outlineLevel="0" collapsed="false">
      <c r="A36" s="16" t="n">
        <v>2025</v>
      </c>
      <c r="B36" s="8" t="s">
        <v>7</v>
      </c>
      <c r="C36" s="14" t="s">
        <v>37</v>
      </c>
      <c r="D36" s="9" t="n">
        <v>20260000</v>
      </c>
      <c r="E36" s="9" t="n">
        <f aca="false">D36*0.675</f>
        <v>13675500</v>
      </c>
      <c r="F36" s="17" t="n">
        <v>0.675</v>
      </c>
      <c r="G36" s="9" t="n">
        <f aca="false">D36*0.18</f>
        <v>3646800</v>
      </c>
      <c r="H36" s="17" t="n">
        <v>0.18</v>
      </c>
      <c r="I36" s="9" t="n">
        <v>0</v>
      </c>
      <c r="J36" s="7" t="s">
        <v>38</v>
      </c>
    </row>
    <row r="37" customFormat="false" ht="15" hidden="false" customHeight="false" outlineLevel="0" collapsed="false">
      <c r="A37" s="13" t="n">
        <v>2025</v>
      </c>
      <c r="B37" s="4" t="s">
        <v>8</v>
      </c>
      <c r="C37" s="14" t="s">
        <v>37</v>
      </c>
      <c r="D37" s="5" t="n">
        <v>20260000</v>
      </c>
      <c r="E37" s="5" t="n">
        <f aca="false">D37*0.675</f>
        <v>13675500</v>
      </c>
      <c r="F37" s="15" t="n">
        <v>0.675</v>
      </c>
      <c r="G37" s="5" t="n">
        <f aca="false">D37*0.18</f>
        <v>3646800</v>
      </c>
      <c r="H37" s="15" t="n">
        <v>0.18</v>
      </c>
      <c r="I37" s="5" t="n">
        <v>0</v>
      </c>
      <c r="J37" s="3" t="s">
        <v>38</v>
      </c>
    </row>
    <row r="38" customFormat="false" ht="15" hidden="false" customHeight="false" outlineLevel="0" collapsed="false">
      <c r="A38" s="16" t="n">
        <v>2025</v>
      </c>
      <c r="B38" s="8" t="s">
        <v>9</v>
      </c>
      <c r="C38" s="14" t="s">
        <v>37</v>
      </c>
      <c r="D38" s="9" t="n">
        <v>60780000</v>
      </c>
      <c r="E38" s="9" t="n">
        <f aca="false">D38*0.675</f>
        <v>41026500</v>
      </c>
      <c r="F38" s="17" t="n">
        <v>0.675</v>
      </c>
      <c r="G38" s="9" t="n">
        <f aca="false">D38*0.18</f>
        <v>10940400</v>
      </c>
      <c r="H38" s="17" t="n">
        <v>0.18</v>
      </c>
      <c r="I38" s="9" t="n">
        <v>0</v>
      </c>
      <c r="J38" s="7" t="s">
        <v>38</v>
      </c>
    </row>
    <row r="39" customFormat="false" ht="15" hidden="false" customHeight="false" outlineLevel="0" collapsed="false">
      <c r="A39" s="13" t="n">
        <v>2025</v>
      </c>
      <c r="B39" s="4" t="s">
        <v>10</v>
      </c>
      <c r="C39" s="14" t="s">
        <v>37</v>
      </c>
      <c r="D39" s="5" t="n">
        <v>20260000</v>
      </c>
      <c r="E39" s="5" t="n">
        <f aca="false">D39*0.675</f>
        <v>13675500</v>
      </c>
      <c r="F39" s="15" t="n">
        <v>0.675</v>
      </c>
      <c r="G39" s="5" t="n">
        <f aca="false">D39*0.18</f>
        <v>3646800</v>
      </c>
      <c r="H39" s="15" t="n">
        <v>0.18</v>
      </c>
      <c r="I39" s="5" t="n">
        <v>0</v>
      </c>
      <c r="J39" s="3" t="s">
        <v>38</v>
      </c>
    </row>
    <row r="40" customFormat="false" ht="15" hidden="false" customHeight="false" outlineLevel="0" collapsed="false">
      <c r="A40" s="16" t="n">
        <v>2025</v>
      </c>
      <c r="B40" s="8" t="s">
        <v>11</v>
      </c>
      <c r="C40" s="18" t="s">
        <v>39</v>
      </c>
      <c r="D40" s="9" t="n">
        <v>20260000</v>
      </c>
      <c r="E40" s="9" t="n">
        <v>0</v>
      </c>
      <c r="F40" s="7" t="s">
        <v>38</v>
      </c>
      <c r="G40" s="9" t="n">
        <v>0</v>
      </c>
      <c r="H40" s="7" t="s">
        <v>38</v>
      </c>
      <c r="I40" s="9" t="n">
        <f aca="false">D40*0.075</f>
        <v>1519500</v>
      </c>
      <c r="J40" s="17" t="n">
        <v>0.075</v>
      </c>
    </row>
    <row r="41" customFormat="false" ht="15" hidden="false" customHeight="false" outlineLevel="0" collapsed="false">
      <c r="A41" s="13" t="n">
        <v>2025</v>
      </c>
      <c r="B41" s="4" t="s">
        <v>12</v>
      </c>
      <c r="C41" s="18" t="s">
        <v>39</v>
      </c>
      <c r="D41" s="5" t="n">
        <v>40520000</v>
      </c>
      <c r="E41" s="5" t="n">
        <v>0</v>
      </c>
      <c r="F41" s="3" t="s">
        <v>38</v>
      </c>
      <c r="G41" s="5" t="n">
        <v>0</v>
      </c>
      <c r="H41" s="3" t="s">
        <v>38</v>
      </c>
      <c r="I41" s="5" t="n">
        <f aca="false">D41*0.075</f>
        <v>3039000</v>
      </c>
      <c r="J41" s="15" t="n">
        <v>0.075</v>
      </c>
    </row>
    <row r="42" customFormat="false" ht="15" hidden="false" customHeight="false" outlineLevel="0" collapsed="false">
      <c r="A42" s="10" t="n">
        <v>2025</v>
      </c>
      <c r="B42" s="10" t="s">
        <v>40</v>
      </c>
      <c r="C42" s="10"/>
      <c r="D42" s="11" t="n">
        <f aca="false">SUM(D30:D38)</f>
        <v>1352100000</v>
      </c>
      <c r="E42" s="11" t="n">
        <f aca="false">SUM(E30:E38)</f>
        <v>800948250</v>
      </c>
      <c r="F42" s="2"/>
      <c r="G42" s="11" t="n">
        <f aca="false">SUM(G30:G38)</f>
        <v>213586200</v>
      </c>
      <c r="H42" s="2"/>
      <c r="I42" s="11" t="n">
        <f aca="false">SUM(I30:I38)</f>
        <v>12413250</v>
      </c>
      <c r="J42" s="2"/>
    </row>
    <row r="44" customFormat="false" ht="15" hidden="false" customHeight="false" outlineLevel="0" collapsed="false">
      <c r="A44" s="19" t="s">
        <v>41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6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1</v>
      </c>
      <c r="B2" s="2" t="s">
        <v>43</v>
      </c>
      <c r="C2" s="2" t="s">
        <v>29</v>
      </c>
      <c r="D2" s="2" t="s">
        <v>30</v>
      </c>
      <c r="E2" s="2" t="s">
        <v>44</v>
      </c>
      <c r="F2" s="2" t="s">
        <v>45</v>
      </c>
      <c r="G2" s="2" t="s">
        <v>46</v>
      </c>
      <c r="H2" s="2" t="s">
        <v>47</v>
      </c>
    </row>
    <row r="3" customFormat="false" ht="15" hidden="false" customHeight="false" outlineLevel="0" collapsed="false">
      <c r="A3" s="13" t="n">
        <v>2022</v>
      </c>
      <c r="B3" s="4" t="s">
        <v>4</v>
      </c>
      <c r="C3" s="14" t="s">
        <v>37</v>
      </c>
      <c r="D3" s="5" t="n">
        <v>87500000</v>
      </c>
      <c r="E3" s="5" t="n">
        <v>74812500</v>
      </c>
      <c r="F3" s="5" t="n">
        <v>12687500</v>
      </c>
      <c r="G3" s="15" t="n">
        <v>0.145</v>
      </c>
      <c r="H3" s="14" t="s">
        <v>48</v>
      </c>
    </row>
    <row r="4" customFormat="false" ht="15" hidden="false" customHeight="false" outlineLevel="0" collapsed="false">
      <c r="A4" s="16" t="n">
        <v>2022</v>
      </c>
      <c r="B4" s="8" t="s">
        <v>5</v>
      </c>
      <c r="C4" s="14" t="s">
        <v>37</v>
      </c>
      <c r="D4" s="9" t="n">
        <v>17500000</v>
      </c>
      <c r="E4" s="9" t="n">
        <v>14962500</v>
      </c>
      <c r="F4" s="9" t="n">
        <v>2537500</v>
      </c>
      <c r="G4" s="17" t="n">
        <v>0.145</v>
      </c>
      <c r="H4" s="14" t="s">
        <v>48</v>
      </c>
    </row>
    <row r="5" customFormat="false" ht="15" hidden="false" customHeight="false" outlineLevel="0" collapsed="false">
      <c r="A5" s="13" t="n">
        <v>2022</v>
      </c>
      <c r="B5" s="4" t="s">
        <v>6</v>
      </c>
      <c r="C5" s="14" t="s">
        <v>37</v>
      </c>
      <c r="D5" s="5" t="n">
        <v>70000000</v>
      </c>
      <c r="E5" s="5" t="n">
        <v>59850000</v>
      </c>
      <c r="F5" s="5" t="n">
        <v>10150000</v>
      </c>
      <c r="G5" s="15" t="n">
        <v>0.145</v>
      </c>
      <c r="H5" s="14" t="s">
        <v>48</v>
      </c>
    </row>
    <row r="6" customFormat="false" ht="15" hidden="false" customHeight="false" outlineLevel="0" collapsed="false">
      <c r="A6" s="16" t="n">
        <v>2022</v>
      </c>
      <c r="B6" s="8" t="s">
        <v>7</v>
      </c>
      <c r="C6" s="14" t="s">
        <v>37</v>
      </c>
      <c r="D6" s="9" t="n">
        <v>17500000</v>
      </c>
      <c r="E6" s="9" t="n">
        <v>14962500</v>
      </c>
      <c r="F6" s="9" t="n">
        <v>2537500</v>
      </c>
      <c r="G6" s="17" t="n">
        <v>0.145</v>
      </c>
      <c r="H6" s="14" t="s">
        <v>48</v>
      </c>
    </row>
    <row r="7" customFormat="false" ht="15" hidden="false" customHeight="false" outlineLevel="0" collapsed="false">
      <c r="A7" s="13" t="n">
        <v>2022</v>
      </c>
      <c r="B7" s="4" t="s">
        <v>8</v>
      </c>
      <c r="C7" s="14" t="s">
        <v>37</v>
      </c>
      <c r="D7" s="5" t="n">
        <v>17500000</v>
      </c>
      <c r="E7" s="5" t="n">
        <v>14962500</v>
      </c>
      <c r="F7" s="5" t="n">
        <v>2537500</v>
      </c>
      <c r="G7" s="15" t="n">
        <v>0.145</v>
      </c>
      <c r="H7" s="14" t="s">
        <v>48</v>
      </c>
    </row>
    <row r="8" customFormat="false" ht="15" hidden="false" customHeight="false" outlineLevel="0" collapsed="false">
      <c r="A8" s="16" t="n">
        <v>2022</v>
      </c>
      <c r="B8" s="8" t="s">
        <v>9</v>
      </c>
      <c r="C8" s="14" t="s">
        <v>37</v>
      </c>
      <c r="D8" s="9" t="n">
        <v>52500000</v>
      </c>
      <c r="E8" s="9" t="n">
        <v>44887500</v>
      </c>
      <c r="F8" s="9" t="n">
        <v>7612500</v>
      </c>
      <c r="G8" s="17" t="n">
        <v>0.145</v>
      </c>
      <c r="H8" s="14" t="s">
        <v>48</v>
      </c>
    </row>
    <row r="9" customFormat="false" ht="15" hidden="false" customHeight="false" outlineLevel="0" collapsed="false">
      <c r="A9" s="13" t="n">
        <v>2022</v>
      </c>
      <c r="B9" s="4" t="s">
        <v>10</v>
      </c>
      <c r="C9" s="14" t="s">
        <v>37</v>
      </c>
      <c r="D9" s="5" t="n">
        <v>17500000</v>
      </c>
      <c r="E9" s="5" t="n">
        <v>14962500</v>
      </c>
      <c r="F9" s="5" t="n">
        <v>2537500</v>
      </c>
      <c r="G9" s="15" t="n">
        <v>0.145</v>
      </c>
      <c r="H9" s="14" t="s">
        <v>48</v>
      </c>
    </row>
    <row r="10" customFormat="false" ht="15" hidden="false" customHeight="false" outlineLevel="0" collapsed="false">
      <c r="A10" s="16" t="n">
        <v>2022</v>
      </c>
      <c r="B10" s="8" t="s">
        <v>11</v>
      </c>
      <c r="C10" s="18" t="s">
        <v>39</v>
      </c>
      <c r="D10" s="9" t="n">
        <v>17500000</v>
      </c>
      <c r="E10" s="9" t="n">
        <v>1312500</v>
      </c>
      <c r="F10" s="9" t="n">
        <v>16187500</v>
      </c>
      <c r="G10" s="17" t="n">
        <v>0.925</v>
      </c>
      <c r="H10" s="14" t="s">
        <v>48</v>
      </c>
    </row>
    <row r="11" customFormat="false" ht="15" hidden="false" customHeight="false" outlineLevel="0" collapsed="false">
      <c r="A11" s="13" t="n">
        <v>2022</v>
      </c>
      <c r="B11" s="4" t="s">
        <v>12</v>
      </c>
      <c r="C11" s="18" t="s">
        <v>39</v>
      </c>
      <c r="D11" s="5" t="n">
        <v>35000000</v>
      </c>
      <c r="E11" s="5" t="n">
        <v>2625000</v>
      </c>
      <c r="F11" s="5" t="n">
        <v>32375000</v>
      </c>
      <c r="G11" s="15" t="n">
        <v>0.925</v>
      </c>
      <c r="H11" s="14" t="s">
        <v>48</v>
      </c>
    </row>
    <row r="12" customFormat="false" ht="15" hidden="false" customHeight="false" outlineLevel="0" collapsed="false">
      <c r="A12" s="10" t="n">
        <v>2022</v>
      </c>
      <c r="B12" s="10" t="s">
        <v>40</v>
      </c>
      <c r="C12" s="10"/>
      <c r="D12" s="11" t="n">
        <f aca="false">SUM(D3:D11)</f>
        <v>332500000</v>
      </c>
      <c r="E12" s="11" t="n">
        <f aca="false">SUM(E3:E11)</f>
        <v>243337500</v>
      </c>
      <c r="F12" s="11" t="n">
        <f aca="false">SUM(F3:F11)</f>
        <v>89162500</v>
      </c>
      <c r="G12" s="20" t="n">
        <f aca="false">F12/D12</f>
        <v>0.268157894736842</v>
      </c>
      <c r="H12" s="2"/>
    </row>
    <row r="13" customFormat="false" ht="15" hidden="false" customHeight="false" outlineLevel="0" collapsed="false">
      <c r="A13" s="13" t="n">
        <v>2023</v>
      </c>
      <c r="B13" s="4" t="s">
        <v>4</v>
      </c>
      <c r="C13" s="14" t="s">
        <v>37</v>
      </c>
      <c r="D13" s="5" t="n">
        <v>91880000</v>
      </c>
      <c r="E13" s="5" t="n">
        <v>78557400</v>
      </c>
      <c r="F13" s="5" t="n">
        <v>13322600</v>
      </c>
      <c r="G13" s="15" t="n">
        <v>0.145</v>
      </c>
      <c r="H13" s="14" t="s">
        <v>48</v>
      </c>
    </row>
    <row r="14" customFormat="false" ht="15" hidden="false" customHeight="false" outlineLevel="0" collapsed="false">
      <c r="A14" s="16" t="n">
        <v>2023</v>
      </c>
      <c r="B14" s="8" t="s">
        <v>5</v>
      </c>
      <c r="C14" s="14" t="s">
        <v>37</v>
      </c>
      <c r="D14" s="9" t="n">
        <v>18380000</v>
      </c>
      <c r="E14" s="9" t="n">
        <v>15714900</v>
      </c>
      <c r="F14" s="9" t="n">
        <v>2665100</v>
      </c>
      <c r="G14" s="17" t="n">
        <v>0.145</v>
      </c>
      <c r="H14" s="14" t="s">
        <v>48</v>
      </c>
    </row>
    <row r="15" customFormat="false" ht="15" hidden="false" customHeight="false" outlineLevel="0" collapsed="false">
      <c r="A15" s="13" t="n">
        <v>2023</v>
      </c>
      <c r="B15" s="4" t="s">
        <v>6</v>
      </c>
      <c r="C15" s="14" t="s">
        <v>37</v>
      </c>
      <c r="D15" s="5" t="n">
        <v>73500000</v>
      </c>
      <c r="E15" s="5" t="n">
        <v>62842500</v>
      </c>
      <c r="F15" s="5" t="n">
        <v>10657500</v>
      </c>
      <c r="G15" s="15" t="n">
        <v>0.145</v>
      </c>
      <c r="H15" s="14" t="s">
        <v>48</v>
      </c>
    </row>
    <row r="16" customFormat="false" ht="15" hidden="false" customHeight="false" outlineLevel="0" collapsed="false">
      <c r="A16" s="16" t="n">
        <v>2023</v>
      </c>
      <c r="B16" s="8" t="s">
        <v>7</v>
      </c>
      <c r="C16" s="14" t="s">
        <v>37</v>
      </c>
      <c r="D16" s="9" t="n">
        <v>18380000</v>
      </c>
      <c r="E16" s="9" t="n">
        <v>15714900</v>
      </c>
      <c r="F16" s="9" t="n">
        <v>2665100</v>
      </c>
      <c r="G16" s="17" t="n">
        <v>0.145</v>
      </c>
      <c r="H16" s="14" t="s">
        <v>48</v>
      </c>
    </row>
    <row r="17" customFormat="false" ht="15" hidden="false" customHeight="false" outlineLevel="0" collapsed="false">
      <c r="A17" s="13" t="n">
        <v>2023</v>
      </c>
      <c r="B17" s="4" t="s">
        <v>8</v>
      </c>
      <c r="C17" s="14" t="s">
        <v>37</v>
      </c>
      <c r="D17" s="5" t="n">
        <v>18380000</v>
      </c>
      <c r="E17" s="5" t="n">
        <v>15714900</v>
      </c>
      <c r="F17" s="5" t="n">
        <v>2665100</v>
      </c>
      <c r="G17" s="15" t="n">
        <v>0.145</v>
      </c>
      <c r="H17" s="14" t="s">
        <v>48</v>
      </c>
    </row>
    <row r="18" customFormat="false" ht="15" hidden="false" customHeight="false" outlineLevel="0" collapsed="false">
      <c r="A18" s="16" t="n">
        <v>2023</v>
      </c>
      <c r="B18" s="8" t="s">
        <v>9</v>
      </c>
      <c r="C18" s="14" t="s">
        <v>37</v>
      </c>
      <c r="D18" s="9" t="n">
        <v>55120000</v>
      </c>
      <c r="E18" s="9" t="n">
        <v>47127600</v>
      </c>
      <c r="F18" s="9" t="n">
        <v>7992400</v>
      </c>
      <c r="G18" s="17" t="n">
        <v>0.145</v>
      </c>
      <c r="H18" s="14" t="s">
        <v>48</v>
      </c>
    </row>
    <row r="19" customFormat="false" ht="15" hidden="false" customHeight="false" outlineLevel="0" collapsed="false">
      <c r="A19" s="13" t="n">
        <v>2023</v>
      </c>
      <c r="B19" s="4" t="s">
        <v>10</v>
      </c>
      <c r="C19" s="14" t="s">
        <v>37</v>
      </c>
      <c r="D19" s="5" t="n">
        <v>18380000</v>
      </c>
      <c r="E19" s="5" t="n">
        <v>15714900</v>
      </c>
      <c r="F19" s="5" t="n">
        <v>2665100</v>
      </c>
      <c r="G19" s="15" t="n">
        <v>0.145</v>
      </c>
      <c r="H19" s="14" t="s">
        <v>48</v>
      </c>
    </row>
    <row r="20" customFormat="false" ht="15" hidden="false" customHeight="false" outlineLevel="0" collapsed="false">
      <c r="A20" s="16" t="n">
        <v>2023</v>
      </c>
      <c r="B20" s="8" t="s">
        <v>11</v>
      </c>
      <c r="C20" s="18" t="s">
        <v>39</v>
      </c>
      <c r="D20" s="9" t="n">
        <v>18380000</v>
      </c>
      <c r="E20" s="9" t="n">
        <v>1378500</v>
      </c>
      <c r="F20" s="9" t="n">
        <v>17001500</v>
      </c>
      <c r="G20" s="17" t="n">
        <v>0.925</v>
      </c>
      <c r="H20" s="14" t="s">
        <v>48</v>
      </c>
    </row>
    <row r="21" customFormat="false" ht="15" hidden="false" customHeight="false" outlineLevel="0" collapsed="false">
      <c r="A21" s="13" t="n">
        <v>2023</v>
      </c>
      <c r="B21" s="4" t="s">
        <v>12</v>
      </c>
      <c r="C21" s="18" t="s">
        <v>39</v>
      </c>
      <c r="D21" s="5" t="n">
        <v>36750000</v>
      </c>
      <c r="E21" s="5" t="n">
        <v>2756250</v>
      </c>
      <c r="F21" s="5" t="n">
        <v>33993750</v>
      </c>
      <c r="G21" s="15" t="n">
        <v>0.925</v>
      </c>
      <c r="H21" s="14" t="s">
        <v>48</v>
      </c>
    </row>
    <row r="22" customFormat="false" ht="15" hidden="false" customHeight="false" outlineLevel="0" collapsed="false">
      <c r="A22" s="10" t="n">
        <v>2023</v>
      </c>
      <c r="B22" s="10" t="s">
        <v>40</v>
      </c>
      <c r="C22" s="10"/>
      <c r="D22" s="11" t="n">
        <f aca="false">SUM(D12:D20)</f>
        <v>644900000</v>
      </c>
      <c r="E22" s="11" t="n">
        <f aca="false">SUM(E12:E20)</f>
        <v>496103100</v>
      </c>
      <c r="F22" s="11" t="n">
        <f aca="false">SUM(F12:F20)</f>
        <v>148796900</v>
      </c>
      <c r="G22" s="20" t="n">
        <f aca="false">F22/D22</f>
        <v>0.23072864009924</v>
      </c>
      <c r="H22" s="2"/>
    </row>
    <row r="23" customFormat="false" ht="15" hidden="false" customHeight="false" outlineLevel="0" collapsed="false">
      <c r="A23" s="13" t="n">
        <v>2024</v>
      </c>
      <c r="B23" s="4" t="s">
        <v>4</v>
      </c>
      <c r="C23" s="14" t="s">
        <v>37</v>
      </c>
      <c r="D23" s="5" t="n">
        <v>96470000</v>
      </c>
      <c r="E23" s="5" t="n">
        <v>82481850</v>
      </c>
      <c r="F23" s="5" t="n">
        <v>13988150</v>
      </c>
      <c r="G23" s="15" t="n">
        <v>0.145</v>
      </c>
      <c r="H23" s="14" t="s">
        <v>48</v>
      </c>
    </row>
    <row r="24" customFormat="false" ht="15" hidden="false" customHeight="false" outlineLevel="0" collapsed="false">
      <c r="A24" s="16" t="n">
        <v>2024</v>
      </c>
      <c r="B24" s="8" t="s">
        <v>5</v>
      </c>
      <c r="C24" s="14" t="s">
        <v>37</v>
      </c>
      <c r="D24" s="9" t="n">
        <v>19290000</v>
      </c>
      <c r="E24" s="9" t="n">
        <v>16492950</v>
      </c>
      <c r="F24" s="9" t="n">
        <v>2797050</v>
      </c>
      <c r="G24" s="17" t="n">
        <v>0.145</v>
      </c>
      <c r="H24" s="14" t="s">
        <v>48</v>
      </c>
    </row>
    <row r="25" customFormat="false" ht="15" hidden="false" customHeight="false" outlineLevel="0" collapsed="false">
      <c r="A25" s="13" t="n">
        <v>2024</v>
      </c>
      <c r="B25" s="4" t="s">
        <v>6</v>
      </c>
      <c r="C25" s="14" t="s">
        <v>37</v>
      </c>
      <c r="D25" s="5" t="n">
        <v>77180000</v>
      </c>
      <c r="E25" s="5" t="n">
        <v>65988900</v>
      </c>
      <c r="F25" s="5" t="n">
        <v>11191100</v>
      </c>
      <c r="G25" s="15" t="n">
        <v>0.145</v>
      </c>
      <c r="H25" s="14" t="s">
        <v>48</v>
      </c>
    </row>
    <row r="26" customFormat="false" ht="15" hidden="false" customHeight="false" outlineLevel="0" collapsed="false">
      <c r="A26" s="16" t="n">
        <v>2024</v>
      </c>
      <c r="B26" s="8" t="s">
        <v>7</v>
      </c>
      <c r="C26" s="14" t="s">
        <v>37</v>
      </c>
      <c r="D26" s="9" t="n">
        <v>19290000</v>
      </c>
      <c r="E26" s="9" t="n">
        <v>16492950</v>
      </c>
      <c r="F26" s="9" t="n">
        <v>2797050</v>
      </c>
      <c r="G26" s="17" t="n">
        <v>0.145</v>
      </c>
      <c r="H26" s="14" t="s">
        <v>48</v>
      </c>
    </row>
    <row r="27" customFormat="false" ht="15" hidden="false" customHeight="false" outlineLevel="0" collapsed="false">
      <c r="A27" s="13" t="n">
        <v>2024</v>
      </c>
      <c r="B27" s="4" t="s">
        <v>8</v>
      </c>
      <c r="C27" s="14" t="s">
        <v>37</v>
      </c>
      <c r="D27" s="5" t="n">
        <v>19290000</v>
      </c>
      <c r="E27" s="5" t="n">
        <v>16492950</v>
      </c>
      <c r="F27" s="5" t="n">
        <v>2797050</v>
      </c>
      <c r="G27" s="15" t="n">
        <v>0.145</v>
      </c>
      <c r="H27" s="14" t="s">
        <v>48</v>
      </c>
    </row>
    <row r="28" customFormat="false" ht="15" hidden="false" customHeight="false" outlineLevel="0" collapsed="false">
      <c r="A28" s="16" t="n">
        <v>2024</v>
      </c>
      <c r="B28" s="8" t="s">
        <v>9</v>
      </c>
      <c r="C28" s="14" t="s">
        <v>37</v>
      </c>
      <c r="D28" s="9" t="n">
        <v>57880000</v>
      </c>
      <c r="E28" s="9" t="n">
        <v>49487400</v>
      </c>
      <c r="F28" s="9" t="n">
        <v>8392600</v>
      </c>
      <c r="G28" s="17" t="n">
        <v>0.145</v>
      </c>
      <c r="H28" s="14" t="s">
        <v>48</v>
      </c>
    </row>
    <row r="29" customFormat="false" ht="15" hidden="false" customHeight="false" outlineLevel="0" collapsed="false">
      <c r="A29" s="13" t="n">
        <v>2024</v>
      </c>
      <c r="B29" s="4" t="s">
        <v>10</v>
      </c>
      <c r="C29" s="14" t="s">
        <v>37</v>
      </c>
      <c r="D29" s="5" t="n">
        <v>19290000</v>
      </c>
      <c r="E29" s="5" t="n">
        <v>16492950</v>
      </c>
      <c r="F29" s="5" t="n">
        <v>2797050</v>
      </c>
      <c r="G29" s="15" t="n">
        <v>0.145</v>
      </c>
      <c r="H29" s="14" t="s">
        <v>48</v>
      </c>
    </row>
    <row r="30" customFormat="false" ht="15" hidden="false" customHeight="false" outlineLevel="0" collapsed="false">
      <c r="A30" s="16" t="n">
        <v>2024</v>
      </c>
      <c r="B30" s="8" t="s">
        <v>11</v>
      </c>
      <c r="C30" s="18" t="s">
        <v>39</v>
      </c>
      <c r="D30" s="9" t="n">
        <v>19290000</v>
      </c>
      <c r="E30" s="9" t="n">
        <v>1446750</v>
      </c>
      <c r="F30" s="9" t="n">
        <v>17843250</v>
      </c>
      <c r="G30" s="17" t="n">
        <v>0.925</v>
      </c>
      <c r="H30" s="14" t="s">
        <v>48</v>
      </c>
    </row>
    <row r="31" customFormat="false" ht="15" hidden="false" customHeight="false" outlineLevel="0" collapsed="false">
      <c r="A31" s="13" t="n">
        <v>2024</v>
      </c>
      <c r="B31" s="4" t="s">
        <v>12</v>
      </c>
      <c r="C31" s="18" t="s">
        <v>39</v>
      </c>
      <c r="D31" s="5" t="n">
        <v>38590000</v>
      </c>
      <c r="E31" s="5" t="n">
        <v>2894250</v>
      </c>
      <c r="F31" s="5" t="n">
        <v>35695750</v>
      </c>
      <c r="G31" s="15" t="n">
        <v>0.925</v>
      </c>
      <c r="H31" s="14" t="s">
        <v>48</v>
      </c>
    </row>
    <row r="32" customFormat="false" ht="15" hidden="false" customHeight="false" outlineLevel="0" collapsed="false">
      <c r="A32" s="10" t="n">
        <v>2024</v>
      </c>
      <c r="B32" s="10" t="s">
        <v>40</v>
      </c>
      <c r="C32" s="10"/>
      <c r="D32" s="11" t="n">
        <f aca="false">SUM(D21:D29)</f>
        <v>990340000</v>
      </c>
      <c r="E32" s="11" t="n">
        <f aca="false">SUM(E21:E29)</f>
        <v>762789300</v>
      </c>
      <c r="F32" s="11" t="n">
        <f aca="false">SUM(F21:F29)</f>
        <v>227550700</v>
      </c>
      <c r="G32" s="20" t="n">
        <f aca="false">F32/D32</f>
        <v>0.229770280913626</v>
      </c>
      <c r="H32" s="2"/>
    </row>
    <row r="33" customFormat="false" ht="15" hidden="false" customHeight="false" outlineLevel="0" collapsed="false">
      <c r="A33" s="13" t="n">
        <v>2025</v>
      </c>
      <c r="B33" s="4" t="s">
        <v>4</v>
      </c>
      <c r="C33" s="14" t="s">
        <v>37</v>
      </c>
      <c r="D33" s="5" t="n">
        <v>101290000</v>
      </c>
      <c r="E33" s="5" t="n">
        <v>86602950</v>
      </c>
      <c r="F33" s="5" t="n">
        <v>14687050</v>
      </c>
      <c r="G33" s="15" t="n">
        <v>0.145</v>
      </c>
      <c r="H33" s="14" t="s">
        <v>48</v>
      </c>
    </row>
    <row r="34" customFormat="false" ht="15" hidden="false" customHeight="false" outlineLevel="0" collapsed="false">
      <c r="A34" s="16" t="n">
        <v>2025</v>
      </c>
      <c r="B34" s="8" t="s">
        <v>5</v>
      </c>
      <c r="C34" s="14" t="s">
        <v>37</v>
      </c>
      <c r="D34" s="9" t="n">
        <v>20260000</v>
      </c>
      <c r="E34" s="9" t="n">
        <v>17322300</v>
      </c>
      <c r="F34" s="9" t="n">
        <v>2937700</v>
      </c>
      <c r="G34" s="17" t="n">
        <v>0.145</v>
      </c>
      <c r="H34" s="14" t="s">
        <v>48</v>
      </c>
    </row>
    <row r="35" customFormat="false" ht="15" hidden="false" customHeight="false" outlineLevel="0" collapsed="false">
      <c r="A35" s="13" t="n">
        <v>2025</v>
      </c>
      <c r="B35" s="4" t="s">
        <v>6</v>
      </c>
      <c r="C35" s="14" t="s">
        <v>37</v>
      </c>
      <c r="D35" s="5" t="n">
        <v>81030000</v>
      </c>
      <c r="E35" s="5" t="n">
        <v>69280650</v>
      </c>
      <c r="F35" s="5" t="n">
        <v>11749350</v>
      </c>
      <c r="G35" s="15" t="n">
        <v>0.145</v>
      </c>
      <c r="H35" s="14" t="s">
        <v>48</v>
      </c>
    </row>
    <row r="36" customFormat="false" ht="15" hidden="false" customHeight="false" outlineLevel="0" collapsed="false">
      <c r="A36" s="16" t="n">
        <v>2025</v>
      </c>
      <c r="B36" s="8" t="s">
        <v>7</v>
      </c>
      <c r="C36" s="14" t="s">
        <v>37</v>
      </c>
      <c r="D36" s="9" t="n">
        <v>20260000</v>
      </c>
      <c r="E36" s="9" t="n">
        <v>17322300</v>
      </c>
      <c r="F36" s="9" t="n">
        <v>2937700</v>
      </c>
      <c r="G36" s="17" t="n">
        <v>0.145</v>
      </c>
      <c r="H36" s="14" t="s">
        <v>48</v>
      </c>
    </row>
    <row r="37" customFormat="false" ht="15" hidden="false" customHeight="false" outlineLevel="0" collapsed="false">
      <c r="A37" s="13" t="n">
        <v>2025</v>
      </c>
      <c r="B37" s="4" t="s">
        <v>8</v>
      </c>
      <c r="C37" s="14" t="s">
        <v>37</v>
      </c>
      <c r="D37" s="5" t="n">
        <v>20260000</v>
      </c>
      <c r="E37" s="5" t="n">
        <v>17322300</v>
      </c>
      <c r="F37" s="5" t="n">
        <v>2937700</v>
      </c>
      <c r="G37" s="15" t="n">
        <v>0.145</v>
      </c>
      <c r="H37" s="14" t="s">
        <v>48</v>
      </c>
    </row>
    <row r="38" customFormat="false" ht="15" hidden="false" customHeight="false" outlineLevel="0" collapsed="false">
      <c r="A38" s="16" t="n">
        <v>2025</v>
      </c>
      <c r="B38" s="8" t="s">
        <v>9</v>
      </c>
      <c r="C38" s="14" t="s">
        <v>37</v>
      </c>
      <c r="D38" s="9" t="n">
        <v>60780000</v>
      </c>
      <c r="E38" s="9" t="n">
        <v>51966900</v>
      </c>
      <c r="F38" s="9" t="n">
        <v>8813100</v>
      </c>
      <c r="G38" s="17" t="n">
        <v>0.145</v>
      </c>
      <c r="H38" s="14" t="s">
        <v>48</v>
      </c>
    </row>
    <row r="39" customFormat="false" ht="15" hidden="false" customHeight="false" outlineLevel="0" collapsed="false">
      <c r="A39" s="13" t="n">
        <v>2025</v>
      </c>
      <c r="B39" s="4" t="s">
        <v>10</v>
      </c>
      <c r="C39" s="14" t="s">
        <v>37</v>
      </c>
      <c r="D39" s="5" t="n">
        <v>20260000</v>
      </c>
      <c r="E39" s="5" t="n">
        <v>17322300</v>
      </c>
      <c r="F39" s="5" t="n">
        <v>2937700</v>
      </c>
      <c r="G39" s="15" t="n">
        <v>0.145</v>
      </c>
      <c r="H39" s="14" t="s">
        <v>48</v>
      </c>
    </row>
    <row r="40" customFormat="false" ht="15" hidden="false" customHeight="false" outlineLevel="0" collapsed="false">
      <c r="A40" s="16" t="n">
        <v>2025</v>
      </c>
      <c r="B40" s="8" t="s">
        <v>11</v>
      </c>
      <c r="C40" s="18" t="s">
        <v>39</v>
      </c>
      <c r="D40" s="9" t="n">
        <v>20260000</v>
      </c>
      <c r="E40" s="9" t="n">
        <v>1519500</v>
      </c>
      <c r="F40" s="9" t="n">
        <v>18740500</v>
      </c>
      <c r="G40" s="17" t="n">
        <v>0.925</v>
      </c>
      <c r="H40" s="14" t="s">
        <v>48</v>
      </c>
    </row>
    <row r="41" customFormat="false" ht="15" hidden="false" customHeight="false" outlineLevel="0" collapsed="false">
      <c r="A41" s="13" t="n">
        <v>2025</v>
      </c>
      <c r="B41" s="4" t="s">
        <v>12</v>
      </c>
      <c r="C41" s="18" t="s">
        <v>39</v>
      </c>
      <c r="D41" s="5" t="n">
        <v>40520000</v>
      </c>
      <c r="E41" s="5" t="n">
        <v>3039000</v>
      </c>
      <c r="F41" s="5" t="n">
        <v>37481000</v>
      </c>
      <c r="G41" s="15" t="n">
        <v>0.925</v>
      </c>
      <c r="H41" s="14" t="s">
        <v>48</v>
      </c>
    </row>
    <row r="42" customFormat="false" ht="15" hidden="false" customHeight="false" outlineLevel="0" collapsed="false">
      <c r="A42" s="10" t="n">
        <v>2025</v>
      </c>
      <c r="B42" s="10" t="s">
        <v>40</v>
      </c>
      <c r="C42" s="10"/>
      <c r="D42" s="11" t="n">
        <f aca="false">SUM(D30:D38)</f>
        <v>1352100000</v>
      </c>
      <c r="E42" s="11" t="n">
        <f aca="false">SUM(E30:E38)</f>
        <v>1026947700</v>
      </c>
      <c r="F42" s="11" t="n">
        <f aca="false">SUM(F30:F38)</f>
        <v>325152300</v>
      </c>
      <c r="G42" s="20" t="n">
        <f aca="false">F42/D42</f>
        <v>0.240479476370091</v>
      </c>
      <c r="H42" s="2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11" min="7" style="0" width="20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5" hidden="false" customHeight="true" outlineLevel="0" collapsed="false">
      <c r="A2" s="2" t="s">
        <v>43</v>
      </c>
      <c r="B2" s="2" t="s">
        <v>29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</row>
    <row r="3" customFormat="false" ht="15" hidden="false" customHeight="false" outlineLevel="0" collapsed="false">
      <c r="A3" s="21" t="s">
        <v>59</v>
      </c>
      <c r="B3" s="14" t="s">
        <v>37</v>
      </c>
      <c r="C3" s="14" t="s">
        <v>60</v>
      </c>
      <c r="D3" s="9" t="n">
        <v>180000</v>
      </c>
      <c r="E3" s="9" t="n">
        <v>10000</v>
      </c>
      <c r="F3" s="9" t="n">
        <v>15</v>
      </c>
      <c r="G3" s="9" t="n">
        <v>30000</v>
      </c>
      <c r="H3" s="9" t="n">
        <v>28000</v>
      </c>
      <c r="I3" s="9" t="n">
        <v>28000</v>
      </c>
      <c r="J3" s="9" t="n">
        <v>25000</v>
      </c>
      <c r="K3" s="9" t="n">
        <v>25000</v>
      </c>
    </row>
    <row r="4" customFormat="false" ht="15" hidden="false" customHeight="false" outlineLevel="0" collapsed="false">
      <c r="A4" s="22" t="s">
        <v>61</v>
      </c>
      <c r="B4" s="14" t="s">
        <v>37</v>
      </c>
      <c r="C4" s="14" t="s">
        <v>60</v>
      </c>
      <c r="D4" s="5" t="n">
        <v>170000</v>
      </c>
      <c r="E4" s="5" t="n">
        <v>10000</v>
      </c>
      <c r="F4" s="5" t="n">
        <v>15</v>
      </c>
      <c r="G4" s="5" t="n">
        <v>27000</v>
      </c>
      <c r="H4" s="5" t="n">
        <v>25000</v>
      </c>
      <c r="I4" s="5" t="n">
        <v>25000</v>
      </c>
      <c r="J4" s="5" t="n">
        <v>22000</v>
      </c>
      <c r="K4" s="5" t="n">
        <v>22000</v>
      </c>
    </row>
    <row r="5" customFormat="false" ht="15" hidden="false" customHeight="false" outlineLevel="0" collapsed="false">
      <c r="A5" s="21" t="s">
        <v>5</v>
      </c>
      <c r="B5" s="14" t="s">
        <v>37</v>
      </c>
      <c r="C5" s="18" t="s">
        <v>62</v>
      </c>
      <c r="D5" s="9" t="n">
        <v>12000</v>
      </c>
      <c r="E5" s="9" t="n">
        <v>500</v>
      </c>
      <c r="F5" s="9" t="n">
        <v>75</v>
      </c>
      <c r="G5" s="9" t="n">
        <v>3000</v>
      </c>
      <c r="H5" s="9" t="n">
        <v>2800</v>
      </c>
      <c r="I5" s="9" t="n">
        <v>2800</v>
      </c>
      <c r="J5" s="9" t="n">
        <v>2500</v>
      </c>
      <c r="K5" s="9" t="n">
        <v>2500</v>
      </c>
    </row>
    <row r="6" customFormat="false" ht="15" hidden="false" customHeight="false" outlineLevel="0" collapsed="false">
      <c r="A6" s="22" t="s">
        <v>7</v>
      </c>
      <c r="B6" s="14" t="s">
        <v>37</v>
      </c>
      <c r="C6" s="18" t="s">
        <v>62</v>
      </c>
      <c r="D6" s="5" t="n">
        <v>12000</v>
      </c>
      <c r="E6" s="5" t="n">
        <v>500</v>
      </c>
      <c r="F6" s="5" t="n">
        <v>80</v>
      </c>
      <c r="G6" s="5" t="n">
        <v>2700</v>
      </c>
      <c r="H6" s="5" t="n">
        <v>2500</v>
      </c>
      <c r="I6" s="5" t="n">
        <v>2500</v>
      </c>
      <c r="J6" s="5" t="n">
        <v>2200</v>
      </c>
      <c r="K6" s="5" t="n">
        <v>2200</v>
      </c>
    </row>
    <row r="7" customFormat="false" ht="15" hidden="false" customHeight="false" outlineLevel="0" collapsed="false">
      <c r="A7" s="21" t="s">
        <v>63</v>
      </c>
      <c r="B7" s="14" t="s">
        <v>37</v>
      </c>
      <c r="C7" s="14" t="s">
        <v>60</v>
      </c>
      <c r="D7" s="9" t="n">
        <v>160000</v>
      </c>
      <c r="E7" s="9" t="n">
        <v>10000</v>
      </c>
      <c r="F7" s="9" t="n">
        <v>15</v>
      </c>
      <c r="G7" s="9" t="n">
        <v>24000</v>
      </c>
      <c r="H7" s="9" t="n">
        <v>22000</v>
      </c>
      <c r="I7" s="9" t="n">
        <v>22000</v>
      </c>
      <c r="J7" s="9" t="n">
        <v>20000</v>
      </c>
      <c r="K7" s="9" t="n">
        <v>20000</v>
      </c>
    </row>
    <row r="8" customFormat="false" ht="15" hidden="false" customHeight="false" outlineLevel="0" collapsed="false">
      <c r="A8" s="22" t="s">
        <v>9</v>
      </c>
      <c r="B8" s="14" t="s">
        <v>37</v>
      </c>
      <c r="C8" s="14" t="s">
        <v>60</v>
      </c>
      <c r="D8" s="5" t="n">
        <v>140000</v>
      </c>
      <c r="E8" s="5" t="n">
        <v>10000</v>
      </c>
      <c r="F8" s="5" t="n">
        <v>18</v>
      </c>
      <c r="G8" s="5" t="n">
        <v>20000</v>
      </c>
      <c r="H8" s="5" t="n">
        <v>18000</v>
      </c>
      <c r="I8" s="5" t="n">
        <v>18000</v>
      </c>
      <c r="J8" s="5" t="n">
        <v>16000</v>
      </c>
      <c r="K8" s="5" t="n">
        <v>16000</v>
      </c>
    </row>
    <row r="9" customFormat="false" ht="15" hidden="false" customHeight="false" outlineLevel="0" collapsed="false">
      <c r="A9" s="21" t="s">
        <v>8</v>
      </c>
      <c r="B9" s="14" t="s">
        <v>37</v>
      </c>
      <c r="C9" s="18" t="s">
        <v>62</v>
      </c>
      <c r="D9" s="9" t="n">
        <v>12000</v>
      </c>
      <c r="E9" s="9" t="n">
        <v>500</v>
      </c>
      <c r="F9" s="9" t="n">
        <v>70</v>
      </c>
      <c r="G9" s="9" t="n">
        <v>2000</v>
      </c>
      <c r="H9" s="9" t="n">
        <v>1800</v>
      </c>
      <c r="I9" s="9" t="n">
        <v>1800</v>
      </c>
      <c r="J9" s="9" t="n">
        <v>1600</v>
      </c>
      <c r="K9" s="9" t="n">
        <v>1600</v>
      </c>
    </row>
    <row r="10" customFormat="false" ht="15" hidden="false" customHeight="false" outlineLevel="0" collapsed="false">
      <c r="A10" s="22" t="s">
        <v>11</v>
      </c>
      <c r="B10" s="23" t="s">
        <v>39</v>
      </c>
      <c r="C10" s="18" t="s">
        <v>62</v>
      </c>
      <c r="D10" s="5" t="n">
        <v>12000</v>
      </c>
      <c r="E10" s="5" t="n">
        <v>500</v>
      </c>
      <c r="F10" s="5" t="n">
        <v>85</v>
      </c>
      <c r="G10" s="5" t="n">
        <v>1400</v>
      </c>
      <c r="H10" s="5" t="n">
        <v>1200</v>
      </c>
      <c r="I10" s="5" t="n">
        <v>1200</v>
      </c>
      <c r="J10" s="5" t="n">
        <v>1000</v>
      </c>
      <c r="K10" s="5" t="n">
        <v>1000</v>
      </c>
    </row>
    <row r="11" customFormat="false" ht="15" hidden="false" customHeight="false" outlineLevel="0" collapsed="false">
      <c r="A11" s="21" t="s">
        <v>12</v>
      </c>
      <c r="B11" s="23" t="s">
        <v>39</v>
      </c>
      <c r="C11" s="18" t="s">
        <v>62</v>
      </c>
      <c r="D11" s="9" t="n">
        <v>12000</v>
      </c>
      <c r="E11" s="9" t="n">
        <v>500</v>
      </c>
      <c r="F11" s="9" t="n">
        <v>90</v>
      </c>
      <c r="G11" s="9" t="n">
        <v>1700</v>
      </c>
      <c r="H11" s="9" t="n">
        <v>1500</v>
      </c>
      <c r="I11" s="9" t="n">
        <v>1500</v>
      </c>
      <c r="J11" s="9" t="n">
        <v>1300</v>
      </c>
      <c r="K11" s="9" t="n">
        <v>1300</v>
      </c>
    </row>
    <row r="13" customFormat="false" ht="15" hidden="false" customHeight="false" outlineLevel="0" collapsed="false">
      <c r="A13" s="19" t="s">
        <v>64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" t="s">
        <v>65</v>
      </c>
      <c r="B1" s="1"/>
      <c r="C1" s="1"/>
      <c r="D1" s="1"/>
      <c r="E1" s="1"/>
      <c r="F1" s="1"/>
    </row>
    <row r="2" customFormat="false" ht="39.75" hidden="false" customHeight="true" outlineLevel="0" collapsed="false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</row>
    <row r="3" customFormat="false" ht="15" hidden="false" customHeight="false" outlineLevel="0" collapsed="false">
      <c r="A3" s="24" t="s">
        <v>72</v>
      </c>
      <c r="B3" s="14" t="s">
        <v>73</v>
      </c>
      <c r="C3" s="25" t="s">
        <v>74</v>
      </c>
      <c r="D3" s="26" t="n">
        <v>100</v>
      </c>
      <c r="E3" s="27" t="n">
        <v>0.14</v>
      </c>
      <c r="F3" s="25" t="s">
        <v>75</v>
      </c>
    </row>
    <row r="4" customFormat="false" ht="15" hidden="false" customHeight="false" outlineLevel="0" collapsed="false">
      <c r="A4" s="24" t="s">
        <v>76</v>
      </c>
      <c r="B4" s="14" t="s">
        <v>73</v>
      </c>
      <c r="C4" s="25" t="s">
        <v>74</v>
      </c>
      <c r="D4" s="26" t="n">
        <v>95</v>
      </c>
      <c r="E4" s="27" t="n">
        <v>0.135</v>
      </c>
      <c r="F4" s="25" t="s">
        <v>77</v>
      </c>
    </row>
    <row r="5" customFormat="false" ht="15" hidden="false" customHeight="false" outlineLevel="0" collapsed="false">
      <c r="A5" s="24" t="s">
        <v>78</v>
      </c>
      <c r="B5" s="14" t="s">
        <v>73</v>
      </c>
      <c r="C5" s="25" t="s">
        <v>79</v>
      </c>
      <c r="D5" s="26" t="n">
        <v>90</v>
      </c>
      <c r="E5" s="27" t="n">
        <v>0.13</v>
      </c>
      <c r="F5" s="25" t="s">
        <v>80</v>
      </c>
    </row>
    <row r="6" customFormat="false" ht="15" hidden="false" customHeight="false" outlineLevel="0" collapsed="false">
      <c r="A6" s="24" t="s">
        <v>81</v>
      </c>
      <c r="B6" s="14" t="s">
        <v>73</v>
      </c>
      <c r="C6" s="25" t="s">
        <v>79</v>
      </c>
      <c r="D6" s="26" t="n">
        <v>88</v>
      </c>
      <c r="E6" s="27" t="n">
        <v>0.125</v>
      </c>
      <c r="F6" s="25" t="s">
        <v>82</v>
      </c>
    </row>
    <row r="7" customFormat="false" ht="15" hidden="false" customHeight="false" outlineLevel="0" collapsed="false">
      <c r="A7" s="24" t="s">
        <v>83</v>
      </c>
      <c r="B7" s="14" t="s">
        <v>73</v>
      </c>
      <c r="C7" s="25" t="s">
        <v>79</v>
      </c>
      <c r="D7" s="26" t="n">
        <v>82</v>
      </c>
      <c r="E7" s="27" t="n">
        <v>0.12</v>
      </c>
      <c r="F7" s="25" t="s">
        <v>84</v>
      </c>
    </row>
    <row r="8" customFormat="false" ht="15" hidden="false" customHeight="false" outlineLevel="0" collapsed="false">
      <c r="A8" s="28" t="s">
        <v>85</v>
      </c>
      <c r="B8" s="18" t="s">
        <v>86</v>
      </c>
      <c r="C8" s="29" t="s">
        <v>74</v>
      </c>
      <c r="D8" s="30" t="n">
        <v>60</v>
      </c>
      <c r="E8" s="31" t="n">
        <v>0.07</v>
      </c>
      <c r="F8" s="29" t="s">
        <v>87</v>
      </c>
    </row>
    <row r="9" customFormat="false" ht="15" hidden="false" customHeight="false" outlineLevel="0" collapsed="false">
      <c r="A9" s="28" t="s">
        <v>88</v>
      </c>
      <c r="B9" s="18" t="s">
        <v>86</v>
      </c>
      <c r="C9" s="29" t="s">
        <v>74</v>
      </c>
      <c r="D9" s="30" t="n">
        <v>55</v>
      </c>
      <c r="E9" s="31" t="n">
        <v>0.065</v>
      </c>
      <c r="F9" s="29" t="s">
        <v>89</v>
      </c>
    </row>
    <row r="10" customFormat="false" ht="15" hidden="false" customHeight="false" outlineLevel="0" collapsed="false">
      <c r="A10" s="28" t="s">
        <v>90</v>
      </c>
      <c r="B10" s="18" t="s">
        <v>86</v>
      </c>
      <c r="C10" s="29" t="s">
        <v>79</v>
      </c>
      <c r="D10" s="30" t="n">
        <v>50</v>
      </c>
      <c r="E10" s="31" t="n">
        <v>0.06</v>
      </c>
      <c r="F10" s="29" t="s">
        <v>91</v>
      </c>
    </row>
    <row r="11" customFormat="false" ht="15" hidden="false" customHeight="false" outlineLevel="0" collapsed="false">
      <c r="A11" s="28" t="s">
        <v>92</v>
      </c>
      <c r="B11" s="18" t="s">
        <v>86</v>
      </c>
      <c r="C11" s="29" t="s">
        <v>79</v>
      </c>
      <c r="D11" s="30" t="n">
        <v>42</v>
      </c>
      <c r="E11" s="31" t="n">
        <v>0.055</v>
      </c>
      <c r="F11" s="29" t="s">
        <v>93</v>
      </c>
    </row>
    <row r="12" customFormat="false" ht="15" hidden="false" customHeight="false" outlineLevel="0" collapsed="false">
      <c r="A12" s="28" t="s">
        <v>94</v>
      </c>
      <c r="B12" s="18" t="s">
        <v>86</v>
      </c>
      <c r="C12" s="29" t="s">
        <v>95</v>
      </c>
      <c r="D12" s="30" t="n">
        <v>38</v>
      </c>
      <c r="E12" s="31" t="n">
        <v>0.05</v>
      </c>
      <c r="F12" s="29" t="s">
        <v>96</v>
      </c>
    </row>
    <row r="13" customFormat="false" ht="15" hidden="false" customHeight="false" outlineLevel="0" collapsed="false">
      <c r="A13" s="32" t="s">
        <v>97</v>
      </c>
      <c r="B13" s="23" t="s">
        <v>98</v>
      </c>
      <c r="C13" s="33" t="s">
        <v>95</v>
      </c>
      <c r="D13" s="34" t="n">
        <v>22</v>
      </c>
      <c r="E13" s="35" t="n">
        <v>0.025</v>
      </c>
      <c r="F13" s="33" t="s">
        <v>99</v>
      </c>
    </row>
    <row r="14" customFormat="false" ht="15" hidden="false" customHeight="false" outlineLevel="0" collapsed="false">
      <c r="A14" s="32" t="s">
        <v>100</v>
      </c>
      <c r="B14" s="23" t="s">
        <v>98</v>
      </c>
      <c r="C14" s="33" t="s">
        <v>74</v>
      </c>
      <c r="D14" s="34" t="n">
        <v>18</v>
      </c>
      <c r="E14" s="35" t="n">
        <v>0.02</v>
      </c>
      <c r="F14" s="33" t="s">
        <v>101</v>
      </c>
    </row>
    <row r="15" customFormat="false" ht="15" hidden="false" customHeight="false" outlineLevel="0" collapsed="false">
      <c r="A15" s="32" t="s">
        <v>102</v>
      </c>
      <c r="B15" s="23" t="s">
        <v>98</v>
      </c>
      <c r="C15" s="33" t="s">
        <v>79</v>
      </c>
      <c r="D15" s="34" t="n">
        <v>12</v>
      </c>
      <c r="E15" s="35" t="n">
        <v>0.01</v>
      </c>
      <c r="F15" s="33" t="s">
        <v>103</v>
      </c>
    </row>
    <row r="16" customFormat="false" ht="15" hidden="false" customHeight="false" outlineLevel="0" collapsed="false">
      <c r="A16" s="36" t="s">
        <v>104</v>
      </c>
      <c r="B16" s="37" t="s">
        <v>105</v>
      </c>
      <c r="C16" s="38" t="s">
        <v>95</v>
      </c>
      <c r="D16" s="39" t="n">
        <v>0</v>
      </c>
      <c r="E16" s="40" t="n">
        <v>0</v>
      </c>
      <c r="F16" s="38" t="s">
        <v>106</v>
      </c>
    </row>
    <row r="17" customFormat="false" ht="15" hidden="false" customHeight="false" outlineLevel="0" collapsed="false">
      <c r="A17" s="36" t="s">
        <v>107</v>
      </c>
      <c r="B17" s="37" t="s">
        <v>105</v>
      </c>
      <c r="C17" s="38" t="s">
        <v>95</v>
      </c>
      <c r="D17" s="39" t="n">
        <v>0</v>
      </c>
      <c r="E17" s="40" t="n">
        <v>0</v>
      </c>
      <c r="F17" s="38" t="s">
        <v>108</v>
      </c>
    </row>
    <row r="18" customFormat="false" ht="15" hidden="false" customHeight="false" outlineLevel="0" collapsed="false">
      <c r="A18" s="10" t="s">
        <v>109</v>
      </c>
      <c r="B18" s="10"/>
      <c r="C18" s="10"/>
      <c r="D18" s="10"/>
      <c r="E18" s="41" t="n">
        <f aca="false">SUM(E3:E17)</f>
        <v>1.005</v>
      </c>
      <c r="F18" s="10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" t="s">
        <v>110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</row>
    <row r="3" customFormat="false" ht="15" hidden="false" customHeight="true" outlineLevel="0" collapsed="false">
      <c r="A3" s="42" t="s">
        <v>117</v>
      </c>
      <c r="B3" s="42"/>
      <c r="C3" s="42"/>
      <c r="D3" s="42"/>
      <c r="E3" s="42"/>
      <c r="F3" s="42"/>
    </row>
    <row r="4" customFormat="false" ht="15" hidden="false" customHeight="false" outlineLevel="0" collapsed="false">
      <c r="A4" s="8" t="s">
        <v>118</v>
      </c>
      <c r="B4" s="43" t="n">
        <v>35</v>
      </c>
      <c r="C4" s="43" t="n">
        <v>36.75</v>
      </c>
      <c r="D4" s="43" t="n">
        <v>38.59</v>
      </c>
      <c r="E4" s="43" t="n">
        <v>40.52</v>
      </c>
      <c r="F4" s="8" t="s">
        <v>119</v>
      </c>
    </row>
    <row r="5" customFormat="false" ht="15" hidden="false" customHeight="false" outlineLevel="0" collapsed="false">
      <c r="A5" s="4" t="s">
        <v>120</v>
      </c>
      <c r="B5" s="44" t="n">
        <v>5.5</v>
      </c>
      <c r="C5" s="44" t="n">
        <v>5.78</v>
      </c>
      <c r="D5" s="44" t="n">
        <v>6.06</v>
      </c>
      <c r="E5" s="44" t="n">
        <v>6.37</v>
      </c>
      <c r="F5" s="4" t="s">
        <v>121</v>
      </c>
    </row>
    <row r="6" customFormat="false" ht="15" hidden="false" customHeight="false" outlineLevel="0" collapsed="false">
      <c r="A6" s="45" t="s">
        <v>122</v>
      </c>
      <c r="B6" s="46" t="n">
        <v>40.5</v>
      </c>
      <c r="C6" s="46" t="n">
        <v>42.52</v>
      </c>
      <c r="D6" s="46" t="n">
        <v>44.65</v>
      </c>
      <c r="E6" s="46" t="n">
        <v>46.88</v>
      </c>
      <c r="F6" s="47" t="s">
        <v>123</v>
      </c>
    </row>
    <row r="8" customFormat="false" ht="15" hidden="false" customHeight="true" outlineLevel="0" collapsed="false">
      <c r="A8" s="42" t="s">
        <v>124</v>
      </c>
      <c r="B8" s="42"/>
      <c r="C8" s="42"/>
      <c r="D8" s="42"/>
      <c r="E8" s="42"/>
      <c r="F8" s="42"/>
    </row>
    <row r="9" customFormat="false" ht="15" hidden="false" customHeight="false" outlineLevel="0" collapsed="false">
      <c r="A9" s="4" t="s">
        <v>125</v>
      </c>
      <c r="B9" s="44" t="n">
        <v>5</v>
      </c>
      <c r="C9" s="44" t="n">
        <v>5.25</v>
      </c>
      <c r="D9" s="44" t="n">
        <v>5.51</v>
      </c>
      <c r="E9" s="44" t="n">
        <v>5.79</v>
      </c>
      <c r="F9" s="4" t="s">
        <v>121</v>
      </c>
    </row>
    <row r="10" customFormat="false" ht="15" hidden="false" customHeight="false" outlineLevel="0" collapsed="false">
      <c r="A10" s="8" t="s">
        <v>126</v>
      </c>
      <c r="B10" s="43" t="n">
        <v>27</v>
      </c>
      <c r="C10" s="43" t="n">
        <v>28.35</v>
      </c>
      <c r="D10" s="43" t="n">
        <v>29.77</v>
      </c>
      <c r="E10" s="43" t="n">
        <v>31.26</v>
      </c>
      <c r="F10" s="8" t="s">
        <v>121</v>
      </c>
    </row>
    <row r="11" customFormat="false" ht="15" hidden="false" customHeight="false" outlineLevel="0" collapsed="false">
      <c r="A11" s="4" t="s">
        <v>127</v>
      </c>
      <c r="B11" s="44" t="n">
        <v>0.15</v>
      </c>
      <c r="C11" s="44" t="n">
        <v>0.16</v>
      </c>
      <c r="D11" s="44" t="n">
        <v>0.17</v>
      </c>
      <c r="E11" s="44" t="n">
        <v>0.17</v>
      </c>
      <c r="F11" s="4" t="s">
        <v>121</v>
      </c>
    </row>
    <row r="12" customFormat="false" ht="15" hidden="false" customHeight="false" outlineLevel="0" collapsed="false">
      <c r="A12" s="8" t="s">
        <v>128</v>
      </c>
      <c r="B12" s="43" t="n">
        <v>0.6</v>
      </c>
      <c r="C12" s="43" t="n">
        <v>0.63</v>
      </c>
      <c r="D12" s="43" t="n">
        <v>0.66</v>
      </c>
      <c r="E12" s="43" t="n">
        <v>0.69</v>
      </c>
      <c r="F12" s="8" t="s">
        <v>121</v>
      </c>
    </row>
    <row r="13" customFormat="false" ht="15" hidden="false" customHeight="false" outlineLevel="0" collapsed="false">
      <c r="A13" s="4" t="s">
        <v>129</v>
      </c>
      <c r="B13" s="44" t="n">
        <v>0.86</v>
      </c>
      <c r="C13" s="44" t="n">
        <v>0.9</v>
      </c>
      <c r="D13" s="44" t="n">
        <v>0.95</v>
      </c>
      <c r="E13" s="44" t="n">
        <v>1</v>
      </c>
      <c r="F13" s="4" t="s">
        <v>121</v>
      </c>
    </row>
    <row r="14" customFormat="false" ht="15" hidden="false" customHeight="false" outlineLevel="0" collapsed="false">
      <c r="A14" s="8" t="s">
        <v>130</v>
      </c>
      <c r="B14" s="43" t="n">
        <v>0.39</v>
      </c>
      <c r="C14" s="43" t="n">
        <v>0.41</v>
      </c>
      <c r="D14" s="43" t="n">
        <v>0.43</v>
      </c>
      <c r="E14" s="43" t="n">
        <v>0.45</v>
      </c>
      <c r="F14" s="8" t="s">
        <v>121</v>
      </c>
    </row>
    <row r="15" customFormat="false" ht="15" hidden="false" customHeight="false" outlineLevel="0" collapsed="false">
      <c r="A15" s="4" t="s">
        <v>131</v>
      </c>
      <c r="B15" s="44" t="n">
        <v>0.75</v>
      </c>
      <c r="C15" s="44" t="n">
        <v>0.79</v>
      </c>
      <c r="D15" s="44" t="n">
        <v>0.83</v>
      </c>
      <c r="E15" s="44" t="n">
        <v>0.87</v>
      </c>
      <c r="F15" s="4" t="s">
        <v>121</v>
      </c>
    </row>
    <row r="16" customFormat="false" ht="15" hidden="false" customHeight="false" outlineLevel="0" collapsed="false">
      <c r="A16" s="8" t="s">
        <v>132</v>
      </c>
      <c r="B16" s="43" t="n">
        <v>0.01</v>
      </c>
      <c r="C16" s="43" t="n">
        <v>0.01</v>
      </c>
      <c r="D16" s="43" t="n">
        <v>0.01</v>
      </c>
      <c r="E16" s="43" t="n">
        <v>0.01</v>
      </c>
      <c r="F16" s="8" t="s">
        <v>133</v>
      </c>
    </row>
    <row r="17" customFormat="false" ht="15" hidden="false" customHeight="false" outlineLevel="0" collapsed="false">
      <c r="A17" s="4" t="s">
        <v>134</v>
      </c>
      <c r="B17" s="44" t="n">
        <v>1.2</v>
      </c>
      <c r="C17" s="44" t="n">
        <v>1.26</v>
      </c>
      <c r="D17" s="44" t="n">
        <v>1.32</v>
      </c>
      <c r="E17" s="44" t="n">
        <v>1.39</v>
      </c>
      <c r="F17" s="4" t="s">
        <v>121</v>
      </c>
    </row>
    <row r="18" customFormat="false" ht="15" hidden="false" customHeight="false" outlineLevel="0" collapsed="false">
      <c r="A18" s="8" t="s">
        <v>135</v>
      </c>
      <c r="B18" s="43" t="n">
        <v>0.03</v>
      </c>
      <c r="C18" s="43" t="n">
        <v>0.03</v>
      </c>
      <c r="D18" s="43" t="n">
        <v>0.03</v>
      </c>
      <c r="E18" s="43" t="n">
        <v>0.03</v>
      </c>
      <c r="F18" s="8" t="s">
        <v>133</v>
      </c>
    </row>
    <row r="19" customFormat="false" ht="15" hidden="false" customHeight="false" outlineLevel="0" collapsed="false">
      <c r="A19" s="4" t="s">
        <v>136</v>
      </c>
      <c r="B19" s="44" t="n">
        <v>0.01</v>
      </c>
      <c r="C19" s="44" t="n">
        <v>0.01</v>
      </c>
      <c r="D19" s="44" t="n">
        <v>0.01</v>
      </c>
      <c r="E19" s="44" t="n">
        <v>0.01</v>
      </c>
      <c r="F19" s="4" t="s">
        <v>133</v>
      </c>
    </row>
    <row r="20" customFormat="false" ht="15" hidden="false" customHeight="false" outlineLevel="0" collapsed="false">
      <c r="A20" s="8" t="s">
        <v>137</v>
      </c>
      <c r="B20" s="43" t="n">
        <v>0.4</v>
      </c>
      <c r="C20" s="43" t="n">
        <v>0.42</v>
      </c>
      <c r="D20" s="43" t="n">
        <v>0.44</v>
      </c>
      <c r="E20" s="43" t="n">
        <v>0.46</v>
      </c>
      <c r="F20" s="8" t="s">
        <v>121</v>
      </c>
    </row>
    <row r="21" customFormat="false" ht="15" hidden="false" customHeight="false" outlineLevel="0" collapsed="false">
      <c r="A21" s="4" t="s">
        <v>138</v>
      </c>
      <c r="B21" s="44" t="n">
        <v>0.7</v>
      </c>
      <c r="C21" s="44" t="n">
        <v>0.73</v>
      </c>
      <c r="D21" s="44" t="n">
        <v>0.77</v>
      </c>
      <c r="E21" s="44" t="n">
        <v>0.81</v>
      </c>
      <c r="F21" s="4" t="s">
        <v>121</v>
      </c>
    </row>
    <row r="22" customFormat="false" ht="15" hidden="false" customHeight="false" outlineLevel="0" collapsed="false">
      <c r="A22" s="8" t="s">
        <v>139</v>
      </c>
      <c r="B22" s="43" t="n">
        <v>0.04</v>
      </c>
      <c r="C22" s="43" t="n">
        <v>0.04</v>
      </c>
      <c r="D22" s="43" t="n">
        <v>0.04</v>
      </c>
      <c r="E22" s="43" t="n">
        <v>0.04</v>
      </c>
      <c r="F22" s="8" t="s">
        <v>133</v>
      </c>
    </row>
    <row r="23" customFormat="false" ht="15" hidden="false" customHeight="false" outlineLevel="0" collapsed="false">
      <c r="A23" s="4" t="s">
        <v>140</v>
      </c>
      <c r="B23" s="44" t="n">
        <v>0.26</v>
      </c>
      <c r="C23" s="44" t="n">
        <v>0.27</v>
      </c>
      <c r="D23" s="44" t="n">
        <v>0.29</v>
      </c>
      <c r="E23" s="44" t="n">
        <v>0.3</v>
      </c>
      <c r="F23" s="4" t="s">
        <v>121</v>
      </c>
    </row>
    <row r="24" customFormat="false" ht="15" hidden="false" customHeight="false" outlineLevel="0" collapsed="false">
      <c r="A24" s="8" t="s">
        <v>141</v>
      </c>
      <c r="B24" s="43" t="n">
        <v>0.35</v>
      </c>
      <c r="C24" s="43" t="n">
        <v>0.37</v>
      </c>
      <c r="D24" s="43" t="n">
        <v>0.39</v>
      </c>
      <c r="E24" s="43" t="n">
        <v>0.41</v>
      </c>
      <c r="F24" s="8" t="s">
        <v>121</v>
      </c>
    </row>
    <row r="25" customFormat="false" ht="15" hidden="false" customHeight="false" outlineLevel="0" collapsed="false">
      <c r="A25" s="4" t="s">
        <v>142</v>
      </c>
      <c r="B25" s="44" t="n">
        <v>1</v>
      </c>
      <c r="C25" s="44" t="n">
        <v>1</v>
      </c>
      <c r="D25" s="44" t="n">
        <v>1</v>
      </c>
      <c r="E25" s="44" t="n">
        <v>1</v>
      </c>
      <c r="F25" s="4" t="s">
        <v>143</v>
      </c>
    </row>
    <row r="27" customFormat="false" ht="15" hidden="false" customHeight="false" outlineLevel="0" collapsed="false">
      <c r="A27" s="45" t="s">
        <v>144</v>
      </c>
      <c r="B27" s="46" t="n">
        <v>6.5</v>
      </c>
      <c r="C27" s="46" t="n">
        <v>6.83</v>
      </c>
      <c r="D27" s="46" t="n">
        <v>7.17</v>
      </c>
      <c r="E27" s="46" t="n">
        <v>7.52</v>
      </c>
      <c r="F27" s="47" t="s">
        <v>145</v>
      </c>
    </row>
    <row r="28" customFormat="false" ht="15" hidden="false" customHeight="false" outlineLevel="0" collapsed="false">
      <c r="A28" s="45" t="s">
        <v>146</v>
      </c>
      <c r="B28" s="46" t="n">
        <v>1.75</v>
      </c>
      <c r="C28" s="46" t="n">
        <v>1.84</v>
      </c>
      <c r="D28" s="46" t="n">
        <v>1.93</v>
      </c>
      <c r="E28" s="46" t="n">
        <v>2.03</v>
      </c>
      <c r="F28" s="47" t="s">
        <v>147</v>
      </c>
    </row>
  </sheetData>
  <mergeCells count="3">
    <mergeCell ref="A1:F1"/>
    <mergeCell ref="A3:F3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</row>
    <row r="3" customFormat="false" ht="15" hidden="false" customHeight="true" outlineLevel="0" collapsed="false">
      <c r="A3" s="42" t="s">
        <v>149</v>
      </c>
      <c r="B3" s="42"/>
      <c r="C3" s="42"/>
      <c r="D3" s="42"/>
      <c r="E3" s="42"/>
      <c r="F3" s="42"/>
    </row>
    <row r="4" customFormat="false" ht="15" hidden="false" customHeight="false" outlineLevel="0" collapsed="false">
      <c r="A4" s="8" t="s">
        <v>150</v>
      </c>
      <c r="B4" s="43" t="n">
        <v>5</v>
      </c>
      <c r="C4" s="43" t="n">
        <v>5</v>
      </c>
      <c r="D4" s="43" t="n">
        <v>5</v>
      </c>
      <c r="E4" s="43" t="n">
        <v>5</v>
      </c>
      <c r="F4" s="8" t="s">
        <v>151</v>
      </c>
    </row>
    <row r="5" customFormat="false" ht="15" hidden="false" customHeight="false" outlineLevel="0" collapsed="false">
      <c r="A5" s="4" t="s">
        <v>152</v>
      </c>
      <c r="B5" s="44" t="n">
        <v>10</v>
      </c>
      <c r="C5" s="44" t="n">
        <v>10</v>
      </c>
      <c r="D5" s="44" t="n">
        <v>10</v>
      </c>
      <c r="E5" s="44" t="n">
        <v>10</v>
      </c>
      <c r="F5" s="4" t="s">
        <v>121</v>
      </c>
    </row>
    <row r="6" customFormat="false" ht="15" hidden="false" customHeight="false" outlineLevel="0" collapsed="false">
      <c r="A6" s="8" t="s">
        <v>153</v>
      </c>
      <c r="B6" s="43" t="n">
        <v>5</v>
      </c>
      <c r="C6" s="43" t="n">
        <v>4.5</v>
      </c>
      <c r="D6" s="43" t="n">
        <v>4</v>
      </c>
      <c r="E6" s="43" t="n">
        <v>3.5</v>
      </c>
      <c r="F6" s="8" t="s">
        <v>154</v>
      </c>
    </row>
    <row r="7" customFormat="false" ht="15" hidden="false" customHeight="false" outlineLevel="0" collapsed="false">
      <c r="A7" s="4" t="s">
        <v>155</v>
      </c>
      <c r="B7" s="44" t="n">
        <v>3</v>
      </c>
      <c r="C7" s="44" t="n">
        <v>3.15</v>
      </c>
      <c r="D7" s="44" t="n">
        <v>3.31</v>
      </c>
      <c r="E7" s="44" t="n">
        <v>3.47</v>
      </c>
      <c r="F7" s="4" t="s">
        <v>156</v>
      </c>
    </row>
    <row r="8" customFormat="false" ht="15" hidden="false" customHeight="false" outlineLevel="0" collapsed="false">
      <c r="A8" s="8" t="s">
        <v>157</v>
      </c>
      <c r="B8" s="43" t="n">
        <v>1.5</v>
      </c>
      <c r="C8" s="43" t="n">
        <v>1.5</v>
      </c>
      <c r="D8" s="43" t="n">
        <v>1.5</v>
      </c>
      <c r="E8" s="43" t="n">
        <v>1.5</v>
      </c>
      <c r="F8" s="8" t="s">
        <v>121</v>
      </c>
    </row>
    <row r="9" customFormat="false" ht="15" hidden="false" customHeight="false" outlineLevel="0" collapsed="false">
      <c r="A9" s="4" t="s">
        <v>158</v>
      </c>
      <c r="B9" s="44" t="n">
        <v>0.5</v>
      </c>
      <c r="C9" s="44" t="n">
        <v>0.5</v>
      </c>
      <c r="D9" s="44" t="n">
        <v>0.5</v>
      </c>
      <c r="E9" s="44" t="n">
        <v>0.5</v>
      </c>
      <c r="F9" s="4" t="s">
        <v>121</v>
      </c>
    </row>
    <row r="10" customFormat="false" ht="15" hidden="false" customHeight="false" outlineLevel="0" collapsed="false">
      <c r="A10" s="45" t="s">
        <v>159</v>
      </c>
      <c r="B10" s="46" t="n">
        <v>25</v>
      </c>
      <c r="C10" s="46" t="n">
        <v>25.5</v>
      </c>
      <c r="D10" s="46" t="n">
        <v>26</v>
      </c>
      <c r="E10" s="46" t="n">
        <v>26.5</v>
      </c>
      <c r="F10" s="47" t="s">
        <v>160</v>
      </c>
    </row>
    <row r="12" customFormat="false" ht="15" hidden="false" customHeight="true" outlineLevel="0" collapsed="false">
      <c r="A12" s="42" t="s">
        <v>161</v>
      </c>
      <c r="B12" s="42"/>
      <c r="C12" s="42"/>
      <c r="D12" s="42"/>
      <c r="E12" s="42"/>
      <c r="F12" s="42"/>
    </row>
    <row r="13" customFormat="false" ht="15" hidden="false" customHeight="false" outlineLevel="0" collapsed="false">
      <c r="A13" s="4" t="s">
        <v>162</v>
      </c>
      <c r="B13" s="44" t="n">
        <v>10</v>
      </c>
      <c r="C13" s="44" t="n">
        <v>9</v>
      </c>
      <c r="D13" s="44" t="n">
        <v>8</v>
      </c>
      <c r="E13" s="44" t="n">
        <v>7</v>
      </c>
      <c r="F13" s="4" t="s">
        <v>163</v>
      </c>
    </row>
    <row r="14" customFormat="false" ht="15" hidden="false" customHeight="false" outlineLevel="0" collapsed="false">
      <c r="A14" s="8" t="s">
        <v>164</v>
      </c>
      <c r="B14" s="43" t="n">
        <v>9</v>
      </c>
      <c r="C14" s="43" t="n">
        <v>9</v>
      </c>
      <c r="D14" s="43" t="n">
        <v>9</v>
      </c>
      <c r="E14" s="43" t="n">
        <v>9</v>
      </c>
      <c r="F14" s="8" t="s">
        <v>121</v>
      </c>
    </row>
    <row r="15" customFormat="false" ht="15" hidden="false" customHeight="false" outlineLevel="0" collapsed="false">
      <c r="A15" s="4" t="s">
        <v>120</v>
      </c>
      <c r="B15" s="44" t="n">
        <v>5.5</v>
      </c>
      <c r="C15" s="44" t="n">
        <v>5.78</v>
      </c>
      <c r="D15" s="44" t="n">
        <v>6.06</v>
      </c>
      <c r="E15" s="44" t="n">
        <v>6.37</v>
      </c>
      <c r="F15" s="4" t="s">
        <v>165</v>
      </c>
    </row>
    <row r="16" customFormat="false" ht="15" hidden="false" customHeight="false" outlineLevel="0" collapsed="false">
      <c r="A16" s="8" t="s">
        <v>166</v>
      </c>
      <c r="B16" s="43" t="n">
        <v>0.25</v>
      </c>
      <c r="C16" s="43" t="n">
        <v>0.25</v>
      </c>
      <c r="D16" s="43" t="n">
        <v>0.25</v>
      </c>
      <c r="E16" s="43" t="n">
        <v>0.25</v>
      </c>
      <c r="F16" s="8" t="s">
        <v>121</v>
      </c>
    </row>
    <row r="17" customFormat="false" ht="15" hidden="false" customHeight="false" outlineLevel="0" collapsed="false">
      <c r="A17" s="4" t="s">
        <v>167</v>
      </c>
      <c r="B17" s="44" t="n">
        <v>0.25</v>
      </c>
      <c r="C17" s="44" t="n">
        <v>0.25</v>
      </c>
      <c r="D17" s="44" t="n">
        <v>0.25</v>
      </c>
      <c r="E17" s="44" t="n">
        <v>0.25</v>
      </c>
      <c r="F17" s="4" t="s">
        <v>121</v>
      </c>
    </row>
    <row r="18" customFormat="false" ht="15" hidden="false" customHeight="false" outlineLevel="0" collapsed="false">
      <c r="A18" s="45" t="s">
        <v>168</v>
      </c>
      <c r="B18" s="46" t="n">
        <v>25</v>
      </c>
      <c r="C18" s="46" t="n">
        <v>25.5</v>
      </c>
      <c r="D18" s="46" t="n">
        <v>26</v>
      </c>
      <c r="E18" s="46" t="n">
        <v>26.5</v>
      </c>
      <c r="F18" s="47" t="s">
        <v>169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170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28</v>
      </c>
      <c r="B2" s="2" t="s">
        <v>171</v>
      </c>
      <c r="C2" s="2" t="s">
        <v>172</v>
      </c>
      <c r="D2" s="2" t="s">
        <v>173</v>
      </c>
      <c r="E2" s="2" t="s">
        <v>50</v>
      </c>
      <c r="F2" s="2" t="s">
        <v>29</v>
      </c>
    </row>
    <row r="3" customFormat="false" ht="15" hidden="false" customHeight="false" outlineLevel="0" collapsed="false">
      <c r="A3" s="22" t="s">
        <v>174</v>
      </c>
      <c r="B3" s="4" t="s">
        <v>175</v>
      </c>
      <c r="C3" s="3" t="s">
        <v>176</v>
      </c>
      <c r="D3" s="44" t="n">
        <v>46.29</v>
      </c>
      <c r="E3" s="14" t="s">
        <v>177</v>
      </c>
      <c r="F3" s="14" t="s">
        <v>37</v>
      </c>
    </row>
    <row r="4" customFormat="false" ht="15" hidden="false" customHeight="false" outlineLevel="0" collapsed="false">
      <c r="A4" s="21" t="s">
        <v>174</v>
      </c>
      <c r="B4" s="8" t="s">
        <v>178</v>
      </c>
      <c r="C4" s="7" t="s">
        <v>176</v>
      </c>
      <c r="D4" s="43" t="n">
        <v>67.34</v>
      </c>
      <c r="E4" s="14" t="s">
        <v>177</v>
      </c>
      <c r="F4" s="14" t="s">
        <v>37</v>
      </c>
    </row>
    <row r="5" customFormat="false" ht="15" hidden="false" customHeight="false" outlineLevel="0" collapsed="false">
      <c r="A5" s="22" t="s">
        <v>174</v>
      </c>
      <c r="B5" s="4" t="s">
        <v>179</v>
      </c>
      <c r="C5" s="3" t="s">
        <v>176</v>
      </c>
      <c r="D5" s="44" t="n">
        <v>77.14</v>
      </c>
      <c r="E5" s="14" t="s">
        <v>177</v>
      </c>
      <c r="F5" s="14" t="s">
        <v>37</v>
      </c>
    </row>
    <row r="6" customFormat="false" ht="15" hidden="false" customHeight="false" outlineLevel="0" collapsed="false">
      <c r="A6" s="21" t="s">
        <v>174</v>
      </c>
      <c r="B6" s="8" t="s">
        <v>180</v>
      </c>
      <c r="C6" s="7" t="s">
        <v>176</v>
      </c>
      <c r="D6" s="43" t="n">
        <v>85.02</v>
      </c>
      <c r="E6" s="14" t="s">
        <v>177</v>
      </c>
      <c r="F6" s="14" t="s">
        <v>37</v>
      </c>
    </row>
    <row r="7" customFormat="false" ht="15" hidden="false" customHeight="false" outlineLevel="0" collapsed="false">
      <c r="A7" s="22" t="s">
        <v>174</v>
      </c>
      <c r="B7" s="4" t="s">
        <v>181</v>
      </c>
      <c r="C7" s="3" t="s">
        <v>176</v>
      </c>
      <c r="D7" s="44" t="n">
        <v>162.97</v>
      </c>
      <c r="E7" s="14" t="s">
        <v>177</v>
      </c>
      <c r="F7" s="14" t="s">
        <v>37</v>
      </c>
    </row>
    <row r="8" customFormat="false" ht="15" hidden="false" customHeight="false" outlineLevel="0" collapsed="false">
      <c r="A8" s="21" t="s">
        <v>174</v>
      </c>
      <c r="B8" s="8" t="s">
        <v>182</v>
      </c>
      <c r="C8" s="7" t="s">
        <v>176</v>
      </c>
      <c r="D8" s="43" t="n">
        <v>643.19</v>
      </c>
      <c r="E8" s="14" t="s">
        <v>177</v>
      </c>
      <c r="F8" s="14" t="s">
        <v>37</v>
      </c>
    </row>
    <row r="9" customFormat="false" ht="15" hidden="false" customHeight="false" outlineLevel="0" collapsed="false">
      <c r="A9" s="22" t="s">
        <v>174</v>
      </c>
      <c r="B9" s="4" t="s">
        <v>183</v>
      </c>
      <c r="C9" s="3" t="s">
        <v>176</v>
      </c>
      <c r="D9" s="44" t="n">
        <v>103.48</v>
      </c>
      <c r="E9" s="18" t="s">
        <v>184</v>
      </c>
      <c r="F9" s="14" t="s">
        <v>37</v>
      </c>
    </row>
    <row r="10" customFormat="false" ht="15" hidden="false" customHeight="false" outlineLevel="0" collapsed="false">
      <c r="A10" s="21" t="s">
        <v>174</v>
      </c>
      <c r="B10" s="8" t="s">
        <v>185</v>
      </c>
      <c r="C10" s="7" t="s">
        <v>176</v>
      </c>
      <c r="D10" s="43" t="n">
        <v>222.75</v>
      </c>
      <c r="E10" s="18" t="s">
        <v>184</v>
      </c>
      <c r="F10" s="14" t="s">
        <v>37</v>
      </c>
    </row>
    <row r="11" customFormat="false" ht="15" hidden="false" customHeight="false" outlineLevel="0" collapsed="false">
      <c r="A11" s="22" t="s">
        <v>186</v>
      </c>
      <c r="B11" s="4" t="s">
        <v>187</v>
      </c>
      <c r="C11" s="3" t="s">
        <v>176</v>
      </c>
      <c r="D11" s="44" t="n">
        <v>156.84</v>
      </c>
      <c r="E11" s="14" t="s">
        <v>177</v>
      </c>
      <c r="F11" s="14" t="s">
        <v>37</v>
      </c>
    </row>
    <row r="12" customFormat="false" ht="15" hidden="false" customHeight="false" outlineLevel="0" collapsed="false">
      <c r="A12" s="21" t="s">
        <v>186</v>
      </c>
      <c r="B12" s="8" t="s">
        <v>188</v>
      </c>
      <c r="C12" s="7" t="s">
        <v>176</v>
      </c>
      <c r="D12" s="43" t="n">
        <v>67.03</v>
      </c>
      <c r="E12" s="14" t="s">
        <v>177</v>
      </c>
      <c r="F12" s="14" t="s">
        <v>37</v>
      </c>
    </row>
    <row r="13" customFormat="false" ht="15" hidden="false" customHeight="false" outlineLevel="0" collapsed="false">
      <c r="A13" s="22" t="s">
        <v>5</v>
      </c>
      <c r="B13" s="4" t="s">
        <v>189</v>
      </c>
      <c r="C13" s="3" t="s">
        <v>176</v>
      </c>
      <c r="D13" s="44" t="n">
        <v>33.7</v>
      </c>
      <c r="E13" s="14" t="s">
        <v>177</v>
      </c>
      <c r="F13" s="14" t="s">
        <v>37</v>
      </c>
    </row>
    <row r="14" customFormat="false" ht="15" hidden="false" customHeight="false" outlineLevel="0" collapsed="false">
      <c r="A14" s="21" t="s">
        <v>5</v>
      </c>
      <c r="B14" s="8" t="s">
        <v>190</v>
      </c>
      <c r="C14" s="7" t="s">
        <v>176</v>
      </c>
      <c r="D14" s="43" t="n">
        <v>67.66</v>
      </c>
      <c r="E14" s="14" t="s">
        <v>177</v>
      </c>
      <c r="F14" s="14" t="s">
        <v>37</v>
      </c>
    </row>
    <row r="15" customFormat="false" ht="15" hidden="false" customHeight="false" outlineLevel="0" collapsed="false">
      <c r="A15" s="22" t="s">
        <v>5</v>
      </c>
      <c r="B15" s="4" t="s">
        <v>191</v>
      </c>
      <c r="C15" s="3" t="s">
        <v>176</v>
      </c>
      <c r="D15" s="44" t="n">
        <v>9.01</v>
      </c>
      <c r="E15" s="18" t="s">
        <v>184</v>
      </c>
      <c r="F15" s="14" t="s">
        <v>37</v>
      </c>
    </row>
    <row r="16" customFormat="false" ht="15" hidden="false" customHeight="false" outlineLevel="0" collapsed="false">
      <c r="A16" s="21" t="s">
        <v>4</v>
      </c>
      <c r="B16" s="8" t="s">
        <v>192</v>
      </c>
      <c r="C16" s="7" t="s">
        <v>176</v>
      </c>
      <c r="D16" s="43" t="n">
        <v>42.5</v>
      </c>
      <c r="E16" s="14" t="s">
        <v>177</v>
      </c>
      <c r="F16" s="14" t="s">
        <v>37</v>
      </c>
    </row>
    <row r="17" customFormat="false" ht="15" hidden="false" customHeight="false" outlineLevel="0" collapsed="false">
      <c r="A17" s="22" t="s">
        <v>4</v>
      </c>
      <c r="B17" s="4" t="s">
        <v>193</v>
      </c>
      <c r="C17" s="3" t="s">
        <v>176</v>
      </c>
      <c r="D17" s="44" t="n">
        <v>66</v>
      </c>
      <c r="E17" s="14" t="s">
        <v>177</v>
      </c>
      <c r="F17" s="14" t="s">
        <v>37</v>
      </c>
    </row>
    <row r="18" customFormat="false" ht="15" hidden="false" customHeight="false" outlineLevel="0" collapsed="false">
      <c r="A18" s="21" t="s">
        <v>4</v>
      </c>
      <c r="B18" s="8" t="s">
        <v>194</v>
      </c>
      <c r="C18" s="7" t="s">
        <v>176</v>
      </c>
      <c r="D18" s="43" t="n">
        <v>81.5</v>
      </c>
      <c r="E18" s="14" t="s">
        <v>177</v>
      </c>
      <c r="F18" s="14" t="s">
        <v>37</v>
      </c>
    </row>
    <row r="19" customFormat="false" ht="15" hidden="false" customHeight="false" outlineLevel="0" collapsed="false">
      <c r="A19" s="22" t="s">
        <v>4</v>
      </c>
      <c r="B19" s="4" t="s">
        <v>195</v>
      </c>
      <c r="C19" s="3" t="s">
        <v>176</v>
      </c>
      <c r="D19" s="44" t="n">
        <v>106</v>
      </c>
      <c r="E19" s="14" t="s">
        <v>177</v>
      </c>
      <c r="F19" s="14" t="s">
        <v>37</v>
      </c>
    </row>
    <row r="20" customFormat="false" ht="15" hidden="false" customHeight="false" outlineLevel="0" collapsed="false">
      <c r="A20" s="21" t="s">
        <v>4</v>
      </c>
      <c r="B20" s="8" t="s">
        <v>196</v>
      </c>
      <c r="C20" s="7" t="s">
        <v>176</v>
      </c>
      <c r="D20" s="43" t="n">
        <v>141.5</v>
      </c>
      <c r="E20" s="14" t="s">
        <v>177</v>
      </c>
      <c r="F20" s="14" t="s">
        <v>37</v>
      </c>
    </row>
    <row r="21" customFormat="false" ht="15" hidden="false" customHeight="false" outlineLevel="0" collapsed="false">
      <c r="A21" s="22" t="s">
        <v>4</v>
      </c>
      <c r="B21" s="4" t="s">
        <v>197</v>
      </c>
      <c r="C21" s="3" t="s">
        <v>176</v>
      </c>
      <c r="D21" s="44" t="n">
        <v>187.5</v>
      </c>
      <c r="E21" s="14" t="s">
        <v>177</v>
      </c>
      <c r="F21" s="14" t="s">
        <v>37</v>
      </c>
    </row>
    <row r="22" customFormat="false" ht="15" hidden="false" customHeight="false" outlineLevel="0" collapsed="false">
      <c r="A22" s="21" t="s">
        <v>4</v>
      </c>
      <c r="B22" s="8" t="s">
        <v>198</v>
      </c>
      <c r="C22" s="7" t="s">
        <v>176</v>
      </c>
      <c r="D22" s="43" t="n">
        <v>520</v>
      </c>
      <c r="E22" s="14" t="s">
        <v>177</v>
      </c>
      <c r="F22" s="14" t="s">
        <v>37</v>
      </c>
    </row>
    <row r="23" customFormat="false" ht="15" hidden="false" customHeight="false" outlineLevel="0" collapsed="false">
      <c r="A23" s="22" t="s">
        <v>4</v>
      </c>
      <c r="B23" s="4" t="s">
        <v>199</v>
      </c>
      <c r="C23" s="3" t="s">
        <v>176</v>
      </c>
      <c r="D23" s="44" t="n">
        <v>666</v>
      </c>
      <c r="E23" s="14" t="s">
        <v>177</v>
      </c>
      <c r="F23" s="14" t="s">
        <v>37</v>
      </c>
    </row>
    <row r="24" customFormat="false" ht="15" hidden="false" customHeight="false" outlineLevel="0" collapsed="false">
      <c r="A24" s="21" t="s">
        <v>200</v>
      </c>
      <c r="B24" s="8" t="s">
        <v>201</v>
      </c>
      <c r="C24" s="7" t="s">
        <v>202</v>
      </c>
      <c r="D24" s="43" t="n">
        <v>1900</v>
      </c>
      <c r="E24" s="18" t="s">
        <v>184</v>
      </c>
      <c r="F24" s="14" t="s">
        <v>37</v>
      </c>
    </row>
    <row r="25" customFormat="false" ht="15" hidden="false" customHeight="false" outlineLevel="0" collapsed="false">
      <c r="A25" s="22" t="s">
        <v>200</v>
      </c>
      <c r="B25" s="4" t="s">
        <v>203</v>
      </c>
      <c r="C25" s="3" t="s">
        <v>202</v>
      </c>
      <c r="D25" s="44" t="n">
        <v>2165</v>
      </c>
      <c r="E25" s="18" t="s">
        <v>184</v>
      </c>
      <c r="F25" s="14" t="s">
        <v>37</v>
      </c>
    </row>
    <row r="26" customFormat="false" ht="15" hidden="false" customHeight="false" outlineLevel="0" collapsed="false">
      <c r="A26" s="21" t="s">
        <v>200</v>
      </c>
      <c r="B26" s="8" t="s">
        <v>204</v>
      </c>
      <c r="C26" s="7" t="s">
        <v>202</v>
      </c>
      <c r="D26" s="43" t="n">
        <v>820</v>
      </c>
      <c r="E26" s="18" t="s">
        <v>184</v>
      </c>
      <c r="F26" s="14" t="s">
        <v>37</v>
      </c>
    </row>
    <row r="27" customFormat="false" ht="15" hidden="false" customHeight="false" outlineLevel="0" collapsed="false">
      <c r="A27" s="22" t="s">
        <v>200</v>
      </c>
      <c r="B27" s="4" t="s">
        <v>205</v>
      </c>
      <c r="C27" s="3" t="s">
        <v>202</v>
      </c>
      <c r="D27" s="44" t="n">
        <v>940</v>
      </c>
      <c r="E27" s="18" t="s">
        <v>184</v>
      </c>
      <c r="F27" s="14" t="s">
        <v>37</v>
      </c>
    </row>
    <row r="28" customFormat="false" ht="15" hidden="false" customHeight="false" outlineLevel="0" collapsed="false">
      <c r="A28" s="21" t="s">
        <v>8</v>
      </c>
      <c r="B28" s="8" t="s">
        <v>206</v>
      </c>
      <c r="C28" s="7" t="s">
        <v>207</v>
      </c>
      <c r="D28" s="43" t="n">
        <v>2800</v>
      </c>
      <c r="E28" s="18" t="s">
        <v>184</v>
      </c>
      <c r="F28" s="14" t="s">
        <v>37</v>
      </c>
    </row>
    <row r="29" customFormat="false" ht="15" hidden="false" customHeight="false" outlineLevel="0" collapsed="false">
      <c r="A29" s="22" t="s">
        <v>8</v>
      </c>
      <c r="B29" s="4" t="s">
        <v>208</v>
      </c>
      <c r="C29" s="3" t="s">
        <v>207</v>
      </c>
      <c r="D29" s="44" t="n">
        <v>5500</v>
      </c>
      <c r="E29" s="18" t="s">
        <v>184</v>
      </c>
      <c r="F29" s="14" t="s">
        <v>37</v>
      </c>
    </row>
    <row r="30" customFormat="false" ht="15" hidden="false" customHeight="false" outlineLevel="0" collapsed="false">
      <c r="A30" s="21" t="s">
        <v>8</v>
      </c>
      <c r="B30" s="8" t="s">
        <v>209</v>
      </c>
      <c r="C30" s="7" t="s">
        <v>207</v>
      </c>
      <c r="D30" s="43" t="n">
        <v>9800</v>
      </c>
      <c r="E30" s="18" t="s">
        <v>184</v>
      </c>
      <c r="F30" s="14" t="s">
        <v>37</v>
      </c>
    </row>
    <row r="31" customFormat="false" ht="15" hidden="false" customHeight="false" outlineLevel="0" collapsed="false">
      <c r="A31" s="22" t="s">
        <v>11</v>
      </c>
      <c r="B31" s="4" t="s">
        <v>210</v>
      </c>
      <c r="C31" s="3" t="s">
        <v>207</v>
      </c>
      <c r="D31" s="44" t="n">
        <v>4500</v>
      </c>
      <c r="E31" s="18" t="s">
        <v>184</v>
      </c>
      <c r="F31" s="23" t="s">
        <v>39</v>
      </c>
    </row>
    <row r="32" customFormat="false" ht="15" hidden="false" customHeight="false" outlineLevel="0" collapsed="false">
      <c r="A32" s="21" t="s">
        <v>11</v>
      </c>
      <c r="B32" s="8" t="s">
        <v>211</v>
      </c>
      <c r="C32" s="7" t="s">
        <v>207</v>
      </c>
      <c r="D32" s="43" t="n">
        <v>4800</v>
      </c>
      <c r="E32" s="18" t="s">
        <v>184</v>
      </c>
      <c r="F32" s="23" t="s">
        <v>39</v>
      </c>
    </row>
    <row r="33" customFormat="false" ht="15" hidden="false" customHeight="false" outlineLevel="0" collapsed="false">
      <c r="A33" s="22" t="s">
        <v>11</v>
      </c>
      <c r="B33" s="4" t="s">
        <v>212</v>
      </c>
      <c r="C33" s="3" t="s">
        <v>207</v>
      </c>
      <c r="D33" s="44" t="n">
        <v>5200</v>
      </c>
      <c r="E33" s="18" t="s">
        <v>184</v>
      </c>
      <c r="F33" s="23" t="s">
        <v>39</v>
      </c>
    </row>
    <row r="34" customFormat="false" ht="15" hidden="false" customHeight="false" outlineLevel="0" collapsed="false">
      <c r="A34" s="21" t="s">
        <v>11</v>
      </c>
      <c r="B34" s="8" t="s">
        <v>213</v>
      </c>
      <c r="C34" s="7" t="s">
        <v>207</v>
      </c>
      <c r="D34" s="43" t="n">
        <v>2200</v>
      </c>
      <c r="E34" s="18" t="s">
        <v>184</v>
      </c>
      <c r="F34" s="23" t="s">
        <v>39</v>
      </c>
    </row>
    <row r="35" customFormat="false" ht="15" hidden="false" customHeight="false" outlineLevel="0" collapsed="false">
      <c r="A35" s="22" t="s">
        <v>11</v>
      </c>
      <c r="B35" s="4" t="s">
        <v>214</v>
      </c>
      <c r="C35" s="3" t="s">
        <v>207</v>
      </c>
      <c r="D35" s="44" t="n">
        <v>1800</v>
      </c>
      <c r="E35" s="18" t="s">
        <v>184</v>
      </c>
      <c r="F35" s="23" t="s">
        <v>39</v>
      </c>
    </row>
    <row r="36" customFormat="false" ht="23.85" hidden="false" customHeight="false" outlineLevel="0" collapsed="false">
      <c r="A36" s="21" t="s">
        <v>215</v>
      </c>
      <c r="B36" s="8" t="s">
        <v>216</v>
      </c>
      <c r="C36" s="7" t="s">
        <v>207</v>
      </c>
      <c r="D36" s="43" t="n">
        <v>350</v>
      </c>
      <c r="E36" s="18" t="s">
        <v>184</v>
      </c>
      <c r="F36" s="23" t="s">
        <v>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217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2</v>
      </c>
      <c r="B2" s="2" t="s">
        <v>218</v>
      </c>
      <c r="C2" s="2" t="s">
        <v>219</v>
      </c>
      <c r="D2" s="2" t="s">
        <v>220</v>
      </c>
      <c r="E2" s="2" t="s">
        <v>221</v>
      </c>
      <c r="F2" s="2" t="s">
        <v>71</v>
      </c>
    </row>
    <row r="3" customFormat="false" ht="15" hidden="false" customHeight="false" outlineLevel="0" collapsed="false">
      <c r="A3" s="24" t="s">
        <v>222</v>
      </c>
      <c r="B3" s="14" t="s">
        <v>223</v>
      </c>
      <c r="C3" s="26" t="s">
        <v>224</v>
      </c>
      <c r="D3" s="26" t="n">
        <v>110</v>
      </c>
      <c r="E3" s="48" t="n">
        <v>1.1</v>
      </c>
      <c r="F3" s="25" t="s">
        <v>225</v>
      </c>
    </row>
    <row r="4" customFormat="false" ht="15" hidden="false" customHeight="false" outlineLevel="0" collapsed="false">
      <c r="A4" s="24" t="s">
        <v>226</v>
      </c>
      <c r="B4" s="14" t="s">
        <v>223</v>
      </c>
      <c r="C4" s="26" t="s">
        <v>224</v>
      </c>
      <c r="D4" s="26" t="n">
        <v>110</v>
      </c>
      <c r="E4" s="48" t="n">
        <v>1.1</v>
      </c>
      <c r="F4" s="25" t="s">
        <v>227</v>
      </c>
    </row>
    <row r="5" customFormat="false" ht="15" hidden="false" customHeight="false" outlineLevel="0" collapsed="false">
      <c r="A5" s="24" t="s">
        <v>228</v>
      </c>
      <c r="B5" s="14" t="s">
        <v>223</v>
      </c>
      <c r="C5" s="26" t="s">
        <v>229</v>
      </c>
      <c r="D5" s="26" t="n">
        <v>115</v>
      </c>
      <c r="E5" s="48" t="n">
        <v>1.15</v>
      </c>
      <c r="F5" s="25" t="s">
        <v>230</v>
      </c>
    </row>
    <row r="6" customFormat="false" ht="15" hidden="false" customHeight="false" outlineLevel="0" collapsed="false">
      <c r="A6" s="24" t="s">
        <v>231</v>
      </c>
      <c r="B6" s="14" t="s">
        <v>223</v>
      </c>
      <c r="C6" s="26" t="s">
        <v>224</v>
      </c>
      <c r="D6" s="26" t="n">
        <v>110</v>
      </c>
      <c r="E6" s="48" t="n">
        <v>1.1</v>
      </c>
      <c r="F6" s="25" t="s">
        <v>232</v>
      </c>
    </row>
    <row r="7" customFormat="false" ht="15" hidden="false" customHeight="false" outlineLevel="0" collapsed="false">
      <c r="A7" s="24" t="s">
        <v>18</v>
      </c>
      <c r="B7" s="14" t="s">
        <v>223</v>
      </c>
      <c r="C7" s="26" t="s">
        <v>233</v>
      </c>
      <c r="D7" s="26" t="n">
        <v>105</v>
      </c>
      <c r="E7" s="48" t="n">
        <v>1.05</v>
      </c>
      <c r="F7" s="25" t="s">
        <v>234</v>
      </c>
    </row>
    <row r="8" customFormat="false" ht="15" hidden="false" customHeight="false" outlineLevel="0" collapsed="false">
      <c r="A8" s="32" t="s">
        <v>235</v>
      </c>
      <c r="B8" s="23" t="s">
        <v>236</v>
      </c>
      <c r="C8" s="34" t="s">
        <v>98</v>
      </c>
      <c r="D8" s="34" t="n">
        <v>70</v>
      </c>
      <c r="E8" s="49" t="n">
        <v>0.7</v>
      </c>
      <c r="F8" s="33" t="s">
        <v>237</v>
      </c>
    </row>
    <row r="9" customFormat="false" ht="15" hidden="false" customHeight="false" outlineLevel="0" collapsed="false">
      <c r="A9" s="32" t="s">
        <v>238</v>
      </c>
      <c r="B9" s="23" t="s">
        <v>236</v>
      </c>
      <c r="C9" s="34" t="s">
        <v>239</v>
      </c>
      <c r="D9" s="34" t="n">
        <v>65</v>
      </c>
      <c r="E9" s="49" t="n">
        <v>0.65</v>
      </c>
      <c r="F9" s="33" t="s">
        <v>240</v>
      </c>
    </row>
    <row r="10" customFormat="false" ht="15" hidden="false" customHeight="false" outlineLevel="0" collapsed="false">
      <c r="A10" s="32" t="s">
        <v>241</v>
      </c>
      <c r="B10" s="23" t="s">
        <v>236</v>
      </c>
      <c r="C10" s="34" t="s">
        <v>239</v>
      </c>
      <c r="D10" s="34" t="n">
        <v>65</v>
      </c>
      <c r="E10" s="49" t="n">
        <v>0.65</v>
      </c>
      <c r="F10" s="33" t="s">
        <v>242</v>
      </c>
    </row>
    <row r="11" customFormat="false" ht="15" hidden="false" customHeight="false" outlineLevel="0" collapsed="false">
      <c r="A11" s="32" t="s">
        <v>243</v>
      </c>
      <c r="B11" s="23" t="s">
        <v>236</v>
      </c>
      <c r="C11" s="34" t="s">
        <v>98</v>
      </c>
      <c r="D11" s="34" t="n">
        <v>70</v>
      </c>
      <c r="E11" s="49" t="n">
        <v>0.7</v>
      </c>
      <c r="F11" s="33" t="s">
        <v>244</v>
      </c>
    </row>
    <row r="12" customFormat="false" ht="15" hidden="false" customHeight="false" outlineLevel="0" collapsed="false">
      <c r="A12" s="24" t="s">
        <v>245</v>
      </c>
      <c r="B12" s="14" t="s">
        <v>223</v>
      </c>
      <c r="C12" s="26" t="s">
        <v>229</v>
      </c>
      <c r="D12" s="26" t="n">
        <v>115</v>
      </c>
      <c r="E12" s="48" t="n">
        <v>1.15</v>
      </c>
      <c r="F12" s="25" t="s">
        <v>246</v>
      </c>
    </row>
    <row r="13" customFormat="false" ht="15" hidden="false" customHeight="false" outlineLevel="0" collapsed="false">
      <c r="A13" s="24" t="s">
        <v>247</v>
      </c>
      <c r="B13" s="14" t="s">
        <v>223</v>
      </c>
      <c r="C13" s="26" t="s">
        <v>229</v>
      </c>
      <c r="D13" s="26" t="n">
        <v>115</v>
      </c>
      <c r="E13" s="48" t="n">
        <v>1.15</v>
      </c>
      <c r="F13" s="25" t="s">
        <v>248</v>
      </c>
    </row>
    <row r="14" customFormat="false" ht="15" hidden="false" customHeight="false" outlineLevel="0" collapsed="false">
      <c r="A14" s="24" t="s">
        <v>249</v>
      </c>
      <c r="B14" s="14" t="s">
        <v>223</v>
      </c>
      <c r="C14" s="26" t="s">
        <v>224</v>
      </c>
      <c r="D14" s="26" t="n">
        <v>110</v>
      </c>
      <c r="E14" s="48" t="n">
        <v>1.1</v>
      </c>
      <c r="F14" s="25" t="s">
        <v>250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251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43</v>
      </c>
      <c r="B2" s="2" t="s">
        <v>29</v>
      </c>
      <c r="C2" s="2" t="s">
        <v>252</v>
      </c>
      <c r="D2" s="2" t="s">
        <v>253</v>
      </c>
      <c r="E2" s="2" t="s">
        <v>254</v>
      </c>
      <c r="F2" s="2" t="s">
        <v>255</v>
      </c>
      <c r="G2" s="2" t="s">
        <v>256</v>
      </c>
      <c r="H2" s="2" t="s">
        <v>257</v>
      </c>
    </row>
    <row r="3" customFormat="false" ht="15" hidden="false" customHeight="false" outlineLevel="0" collapsed="false">
      <c r="A3" s="24" t="s">
        <v>4</v>
      </c>
      <c r="B3" s="14" t="s">
        <v>37</v>
      </c>
      <c r="C3" s="14" t="s">
        <v>258</v>
      </c>
      <c r="D3" s="48" t="n">
        <v>0.25</v>
      </c>
      <c r="E3" s="48" t="n">
        <v>0.25</v>
      </c>
      <c r="F3" s="26" t="n">
        <v>15</v>
      </c>
      <c r="G3" s="50" t="n">
        <v>8.75</v>
      </c>
      <c r="H3" s="25" t="s">
        <v>259</v>
      </c>
    </row>
    <row r="4" customFormat="false" ht="15" hidden="false" customHeight="false" outlineLevel="0" collapsed="false">
      <c r="A4" s="24" t="s">
        <v>6</v>
      </c>
      <c r="B4" s="14" t="s">
        <v>37</v>
      </c>
      <c r="C4" s="14" t="s">
        <v>258</v>
      </c>
      <c r="D4" s="48" t="n">
        <v>0.2</v>
      </c>
      <c r="E4" s="48" t="n">
        <v>0.45</v>
      </c>
      <c r="F4" s="26" t="n">
        <v>15</v>
      </c>
      <c r="G4" s="50" t="n">
        <v>7</v>
      </c>
      <c r="H4" s="25" t="s">
        <v>259</v>
      </c>
    </row>
    <row r="5" customFormat="false" ht="15" hidden="false" customHeight="false" outlineLevel="0" collapsed="false">
      <c r="A5" s="24" t="s">
        <v>9</v>
      </c>
      <c r="B5" s="14" t="s">
        <v>37</v>
      </c>
      <c r="C5" s="14" t="s">
        <v>258</v>
      </c>
      <c r="D5" s="48" t="n">
        <v>0.15</v>
      </c>
      <c r="E5" s="48" t="n">
        <v>0.6</v>
      </c>
      <c r="F5" s="26" t="n">
        <v>18</v>
      </c>
      <c r="G5" s="50" t="n">
        <v>5.25</v>
      </c>
      <c r="H5" s="25" t="s">
        <v>260</v>
      </c>
    </row>
    <row r="6" customFormat="false" ht="15" hidden="false" customHeight="false" outlineLevel="0" collapsed="false">
      <c r="A6" s="28" t="s">
        <v>12</v>
      </c>
      <c r="B6" s="23" t="s">
        <v>39</v>
      </c>
      <c r="C6" s="18" t="s">
        <v>261</v>
      </c>
      <c r="D6" s="51" t="n">
        <v>0.1</v>
      </c>
      <c r="E6" s="51" t="n">
        <v>0.7</v>
      </c>
      <c r="F6" s="30" t="n">
        <v>90</v>
      </c>
      <c r="G6" s="52" t="n">
        <v>3.5</v>
      </c>
      <c r="H6" s="29" t="s">
        <v>262</v>
      </c>
    </row>
    <row r="7" customFormat="false" ht="15" hidden="false" customHeight="false" outlineLevel="0" collapsed="false">
      <c r="A7" s="28" t="s">
        <v>5</v>
      </c>
      <c r="B7" s="14" t="s">
        <v>37</v>
      </c>
      <c r="C7" s="18" t="s">
        <v>261</v>
      </c>
      <c r="D7" s="51" t="n">
        <v>0.05</v>
      </c>
      <c r="E7" s="51" t="n">
        <v>0.75</v>
      </c>
      <c r="F7" s="30" t="n">
        <v>75</v>
      </c>
      <c r="G7" s="52" t="n">
        <v>1.75</v>
      </c>
      <c r="H7" s="29" t="s">
        <v>263</v>
      </c>
    </row>
    <row r="8" customFormat="false" ht="15" hidden="false" customHeight="false" outlineLevel="0" collapsed="false">
      <c r="A8" s="28" t="s">
        <v>7</v>
      </c>
      <c r="B8" s="14" t="s">
        <v>37</v>
      </c>
      <c r="C8" s="18" t="s">
        <v>261</v>
      </c>
      <c r="D8" s="51" t="n">
        <v>0.05</v>
      </c>
      <c r="E8" s="51" t="n">
        <v>0.8</v>
      </c>
      <c r="F8" s="30" t="n">
        <v>80</v>
      </c>
      <c r="G8" s="52" t="n">
        <v>1.75</v>
      </c>
      <c r="H8" s="29" t="s">
        <v>263</v>
      </c>
    </row>
    <row r="9" customFormat="false" ht="15" hidden="false" customHeight="false" outlineLevel="0" collapsed="false">
      <c r="A9" s="28" t="s">
        <v>8</v>
      </c>
      <c r="B9" s="14" t="s">
        <v>37</v>
      </c>
      <c r="C9" s="18" t="s">
        <v>261</v>
      </c>
      <c r="D9" s="51" t="n">
        <v>0.05</v>
      </c>
      <c r="E9" s="51" t="n">
        <v>0.85</v>
      </c>
      <c r="F9" s="30" t="n">
        <v>70</v>
      </c>
      <c r="G9" s="52" t="n">
        <v>1.75</v>
      </c>
      <c r="H9" s="29" t="s">
        <v>263</v>
      </c>
    </row>
    <row r="10" customFormat="false" ht="15" hidden="false" customHeight="false" outlineLevel="0" collapsed="false">
      <c r="A10" s="28" t="s">
        <v>10</v>
      </c>
      <c r="B10" s="14" t="s">
        <v>37</v>
      </c>
      <c r="C10" s="18" t="s">
        <v>261</v>
      </c>
      <c r="D10" s="51" t="n">
        <v>0.05</v>
      </c>
      <c r="E10" s="51" t="n">
        <v>0.9</v>
      </c>
      <c r="F10" s="30" t="n">
        <v>15</v>
      </c>
      <c r="G10" s="52" t="n">
        <v>1.75</v>
      </c>
      <c r="H10" s="29" t="s">
        <v>263</v>
      </c>
    </row>
    <row r="11" customFormat="false" ht="15" hidden="false" customHeight="false" outlineLevel="0" collapsed="false">
      <c r="A11" s="32" t="s">
        <v>11</v>
      </c>
      <c r="B11" s="23" t="s">
        <v>39</v>
      </c>
      <c r="C11" s="23" t="s">
        <v>264</v>
      </c>
      <c r="D11" s="49" t="n">
        <v>0.05</v>
      </c>
      <c r="E11" s="49" t="n">
        <v>0.95</v>
      </c>
      <c r="F11" s="34" t="n">
        <v>85</v>
      </c>
      <c r="G11" s="53" t="n">
        <v>1.75</v>
      </c>
      <c r="H11" s="33" t="s">
        <v>265</v>
      </c>
    </row>
    <row r="13" customFormat="false" ht="15" hidden="false" customHeight="false" outlineLevel="0" collapsed="false">
      <c r="A13" s="19" t="s">
        <v>266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2026-05-12T11:15:14Z</dcterms:created>
  <dc:creator>openpyxl</dc:creator>
  <dc:description/>
  <dc:language>en-US</dc:language>
  <cp:lastModifiedBy/>
  <dcterms:modified xsi:type="dcterms:W3CDTF">2026-05-12T11:15:14Z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